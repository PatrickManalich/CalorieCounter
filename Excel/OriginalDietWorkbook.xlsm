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Patch\Google Drive\Workout\"/>
    </mc:Choice>
  </mc:AlternateContent>
  <xr:revisionPtr revIDLastSave="0" documentId="13_ncr:1_{BAD5390E-083E-4E5B-9A70-9145E8AB47C5}" xr6:coauthVersionLast="45" xr6:coauthVersionMax="45" xr10:uidLastSave="{00000000-0000-0000-0000-000000000000}"/>
  <bookViews>
    <workbookView xWindow="28680" yWindow="-120" windowWidth="29040" windowHeight="17640" activeTab="8" xr2:uid="{6B62B681-7B68-47E3-BE5A-25281F577004}"/>
  </bookViews>
  <sheets>
    <sheet name="Overview" sheetId="1" r:id="rId1"/>
    <sheet name="January" sheetId="9" r:id="rId2"/>
    <sheet name="February" sheetId="10" r:id="rId3"/>
    <sheet name="March" sheetId="12" r:id="rId4"/>
    <sheet name="April" sheetId="14" r:id="rId5"/>
    <sheet name="May" sheetId="15" r:id="rId6"/>
    <sheet name="Meal Options" sheetId="3" r:id="rId7"/>
    <sheet name="Progress View" sheetId="11" r:id="rId8"/>
    <sheet name="Month View Template" sheetId="4" r:id="rId9"/>
  </sheets>
  <definedNames>
    <definedName name="AmountRange">INDIRECT("AmountTable[Amount]")</definedName>
    <definedName name="BreakfastMealRange">INDIRECT("BreakfastTable[Meal]")</definedName>
    <definedName name="DinnerMealRange">INDIRECT("DinnerTable[Meal]")</definedName>
    <definedName name="LunchMealRange">INDIRECT("LunchTable[Meal]")</definedName>
    <definedName name="OverviewWeekRange">INDIRECT("OverviewTable[Week]")</definedName>
    <definedName name="PostWorkoutMealRange">INDIRECT("PostWorkoutTable[Meal]")</definedName>
    <definedName name="SmoothieIngredientRange">INDIRECT("SmoothieTable[Ingredient]")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02" i="14" l="1"/>
  <c r="J302" i="14"/>
  <c r="I302" i="14"/>
  <c r="K292" i="14"/>
  <c r="J292" i="14"/>
  <c r="I292" i="14"/>
  <c r="K282" i="14"/>
  <c r="J282" i="14"/>
  <c r="I282" i="14"/>
  <c r="K272" i="14"/>
  <c r="J272" i="14"/>
  <c r="I272" i="14"/>
  <c r="K262" i="14"/>
  <c r="J262" i="14"/>
  <c r="I262" i="14"/>
  <c r="K252" i="14"/>
  <c r="J252" i="14"/>
  <c r="I252" i="14"/>
  <c r="K242" i="14"/>
  <c r="J242" i="14"/>
  <c r="I242" i="14"/>
  <c r="K232" i="14"/>
  <c r="J232" i="14"/>
  <c r="I232" i="14"/>
  <c r="K222" i="14"/>
  <c r="J222" i="14"/>
  <c r="I222" i="14"/>
  <c r="K212" i="14"/>
  <c r="J212" i="14"/>
  <c r="I212" i="14"/>
  <c r="K202" i="14"/>
  <c r="J202" i="14"/>
  <c r="I202" i="14"/>
  <c r="K192" i="14"/>
  <c r="J192" i="14"/>
  <c r="I192" i="14"/>
  <c r="K182" i="14"/>
  <c r="J182" i="14"/>
  <c r="I182" i="14"/>
  <c r="K172" i="14"/>
  <c r="J172" i="14"/>
  <c r="I172" i="14"/>
  <c r="K162" i="14"/>
  <c r="J162" i="14"/>
  <c r="I162" i="14"/>
  <c r="K152" i="14"/>
  <c r="J152" i="14"/>
  <c r="I152" i="14"/>
  <c r="K142" i="14"/>
  <c r="J142" i="14"/>
  <c r="I142" i="14"/>
  <c r="K132" i="14"/>
  <c r="J132" i="14"/>
  <c r="I132" i="14"/>
  <c r="K122" i="14"/>
  <c r="J122" i="14"/>
  <c r="I122" i="14"/>
  <c r="K112" i="14"/>
  <c r="J112" i="14"/>
  <c r="I112" i="14"/>
  <c r="K102" i="14"/>
  <c r="J102" i="14"/>
  <c r="I102" i="14"/>
  <c r="K92" i="14"/>
  <c r="J92" i="14"/>
  <c r="I92" i="14"/>
  <c r="K82" i="14"/>
  <c r="J82" i="14"/>
  <c r="I82" i="14"/>
  <c r="K72" i="14"/>
  <c r="J72" i="14"/>
  <c r="I72" i="14"/>
  <c r="K62" i="14"/>
  <c r="J62" i="14"/>
  <c r="I62" i="14"/>
  <c r="K52" i="14"/>
  <c r="J52" i="14"/>
  <c r="I52" i="14"/>
  <c r="K42" i="14"/>
  <c r="J42" i="14"/>
  <c r="I42" i="14"/>
  <c r="K32" i="14"/>
  <c r="J32" i="14"/>
  <c r="I32" i="14"/>
  <c r="K22" i="14"/>
  <c r="J22" i="14"/>
  <c r="I22" i="14"/>
  <c r="K12" i="14"/>
  <c r="J12" i="14"/>
  <c r="I12" i="14"/>
  <c r="K192" i="15"/>
  <c r="J192" i="15"/>
  <c r="I192" i="15"/>
  <c r="K182" i="15"/>
  <c r="J182" i="15"/>
  <c r="I182" i="15"/>
  <c r="K172" i="15"/>
  <c r="J172" i="15"/>
  <c r="I172" i="15"/>
  <c r="K162" i="15"/>
  <c r="J162" i="15"/>
  <c r="I162" i="15"/>
  <c r="K152" i="15"/>
  <c r="J152" i="15"/>
  <c r="I152" i="15"/>
  <c r="K142" i="15"/>
  <c r="J142" i="15"/>
  <c r="I142" i="15"/>
  <c r="K132" i="15"/>
  <c r="J132" i="15"/>
  <c r="I132" i="15"/>
  <c r="K122" i="15"/>
  <c r="J122" i="15"/>
  <c r="I122" i="15"/>
  <c r="K112" i="15"/>
  <c r="J112" i="15"/>
  <c r="I112" i="15"/>
  <c r="K102" i="15"/>
  <c r="J102" i="15"/>
  <c r="I102" i="15"/>
  <c r="K92" i="15"/>
  <c r="J92" i="15"/>
  <c r="I92" i="15"/>
  <c r="K82" i="15"/>
  <c r="J82" i="15"/>
  <c r="I82" i="15"/>
  <c r="K72" i="15"/>
  <c r="J72" i="15"/>
  <c r="I72" i="15"/>
  <c r="K62" i="15"/>
  <c r="J62" i="15"/>
  <c r="I62" i="15"/>
  <c r="K52" i="15"/>
  <c r="J52" i="15"/>
  <c r="I52" i="15"/>
  <c r="K32" i="15"/>
  <c r="J32" i="15"/>
  <c r="I32" i="15"/>
  <c r="K12" i="15"/>
  <c r="J12" i="15"/>
  <c r="I12" i="15"/>
  <c r="P199" i="15" l="1"/>
  <c r="O199" i="15"/>
  <c r="N199" i="15"/>
  <c r="P198" i="15"/>
  <c r="O198" i="15"/>
  <c r="N198" i="15"/>
  <c r="P197" i="15"/>
  <c r="O197" i="15"/>
  <c r="N197" i="15"/>
  <c r="P196" i="15"/>
  <c r="O196" i="15"/>
  <c r="N196" i="15"/>
  <c r="P195" i="15"/>
  <c r="O195" i="15"/>
  <c r="O200" i="15" s="1"/>
  <c r="N195" i="15"/>
  <c r="N200" i="15" s="1"/>
  <c r="B195" i="15"/>
  <c r="P189" i="15"/>
  <c r="O189" i="15"/>
  <c r="N189" i="15"/>
  <c r="P188" i="15"/>
  <c r="O188" i="15"/>
  <c r="N188" i="15"/>
  <c r="P187" i="15"/>
  <c r="O187" i="15"/>
  <c r="N187" i="15"/>
  <c r="P186" i="15"/>
  <c r="O186" i="15"/>
  <c r="N186" i="15"/>
  <c r="P185" i="15"/>
  <c r="O185" i="15"/>
  <c r="O190" i="15" s="1"/>
  <c r="N185" i="15"/>
  <c r="N190" i="15" s="1"/>
  <c r="B185" i="15"/>
  <c r="P179" i="15"/>
  <c r="O179" i="15"/>
  <c r="N179" i="15"/>
  <c r="P178" i="15"/>
  <c r="O178" i="15"/>
  <c r="N178" i="15"/>
  <c r="P177" i="15"/>
  <c r="O177" i="15"/>
  <c r="N177" i="15"/>
  <c r="P176" i="15"/>
  <c r="O176" i="15"/>
  <c r="N176" i="15"/>
  <c r="P175" i="15"/>
  <c r="O175" i="15"/>
  <c r="O180" i="15" s="1"/>
  <c r="N175" i="15"/>
  <c r="N180" i="15" s="1"/>
  <c r="B175" i="15"/>
  <c r="P169" i="15"/>
  <c r="O169" i="15"/>
  <c r="N169" i="15"/>
  <c r="P168" i="15"/>
  <c r="O168" i="15"/>
  <c r="N168" i="15"/>
  <c r="P167" i="15"/>
  <c r="O167" i="15"/>
  <c r="N167" i="15"/>
  <c r="P166" i="15"/>
  <c r="O166" i="15"/>
  <c r="N166" i="15"/>
  <c r="P165" i="15"/>
  <c r="O165" i="15"/>
  <c r="N165" i="15"/>
  <c r="B165" i="15"/>
  <c r="P159" i="15"/>
  <c r="O159" i="15"/>
  <c r="N159" i="15"/>
  <c r="P158" i="15"/>
  <c r="O158" i="15"/>
  <c r="N158" i="15"/>
  <c r="P157" i="15"/>
  <c r="O157" i="15"/>
  <c r="N157" i="15"/>
  <c r="P156" i="15"/>
  <c r="O156" i="15"/>
  <c r="N156" i="15"/>
  <c r="P155" i="15"/>
  <c r="O155" i="15"/>
  <c r="N155" i="15"/>
  <c r="B155" i="15"/>
  <c r="P149" i="15"/>
  <c r="O149" i="15"/>
  <c r="N149" i="15"/>
  <c r="P148" i="15"/>
  <c r="O148" i="15"/>
  <c r="N148" i="15"/>
  <c r="P147" i="15"/>
  <c r="O147" i="15"/>
  <c r="N147" i="15"/>
  <c r="P146" i="15"/>
  <c r="O146" i="15"/>
  <c r="N146" i="15"/>
  <c r="P145" i="15"/>
  <c r="O145" i="15"/>
  <c r="N145" i="15"/>
  <c r="B145" i="15"/>
  <c r="P139" i="15"/>
  <c r="O139" i="15"/>
  <c r="N139" i="15"/>
  <c r="P138" i="15"/>
  <c r="O138" i="15"/>
  <c r="N138" i="15"/>
  <c r="P137" i="15"/>
  <c r="O137" i="15"/>
  <c r="N137" i="15"/>
  <c r="P136" i="15"/>
  <c r="O136" i="15"/>
  <c r="N136" i="15"/>
  <c r="P135" i="15"/>
  <c r="O135" i="15"/>
  <c r="N135" i="15"/>
  <c r="B135" i="15"/>
  <c r="P129" i="15"/>
  <c r="O129" i="15"/>
  <c r="N129" i="15"/>
  <c r="P128" i="15"/>
  <c r="O128" i="15"/>
  <c r="N128" i="15"/>
  <c r="P127" i="15"/>
  <c r="O127" i="15"/>
  <c r="N127" i="15"/>
  <c r="P126" i="15"/>
  <c r="O126" i="15"/>
  <c r="N126" i="15"/>
  <c r="P125" i="15"/>
  <c r="O125" i="15"/>
  <c r="N125" i="15"/>
  <c r="B125" i="15"/>
  <c r="P119" i="15"/>
  <c r="O119" i="15"/>
  <c r="N119" i="15"/>
  <c r="P118" i="15"/>
  <c r="O118" i="15"/>
  <c r="N118" i="15"/>
  <c r="P117" i="15"/>
  <c r="O117" i="15"/>
  <c r="N117" i="15"/>
  <c r="P116" i="15"/>
  <c r="O116" i="15"/>
  <c r="N116" i="15"/>
  <c r="P115" i="15"/>
  <c r="O115" i="15"/>
  <c r="N115" i="15"/>
  <c r="B115" i="15"/>
  <c r="P109" i="15"/>
  <c r="O109" i="15"/>
  <c r="N109" i="15"/>
  <c r="P108" i="15"/>
  <c r="O108" i="15"/>
  <c r="N108" i="15"/>
  <c r="P107" i="15"/>
  <c r="O107" i="15"/>
  <c r="N107" i="15"/>
  <c r="P106" i="15"/>
  <c r="O106" i="15"/>
  <c r="N106" i="15"/>
  <c r="P105" i="15"/>
  <c r="O105" i="15"/>
  <c r="N105" i="15"/>
  <c r="B105" i="15"/>
  <c r="P99" i="15"/>
  <c r="O99" i="15"/>
  <c r="N99" i="15"/>
  <c r="P98" i="15"/>
  <c r="O98" i="15"/>
  <c r="N98" i="15"/>
  <c r="P97" i="15"/>
  <c r="O97" i="15"/>
  <c r="N97" i="15"/>
  <c r="P96" i="15"/>
  <c r="O96" i="15"/>
  <c r="N96" i="15"/>
  <c r="P95" i="15"/>
  <c r="O95" i="15"/>
  <c r="N95" i="15"/>
  <c r="B95" i="15"/>
  <c r="P89" i="15"/>
  <c r="O89" i="15"/>
  <c r="N89" i="15"/>
  <c r="P88" i="15"/>
  <c r="O88" i="15"/>
  <c r="N88" i="15"/>
  <c r="P87" i="15"/>
  <c r="O87" i="15"/>
  <c r="N87" i="15"/>
  <c r="P86" i="15"/>
  <c r="O86" i="15"/>
  <c r="N86" i="15"/>
  <c r="P85" i="15"/>
  <c r="O85" i="15"/>
  <c r="N85" i="15"/>
  <c r="B85" i="15"/>
  <c r="P79" i="15"/>
  <c r="O79" i="15"/>
  <c r="N79" i="15"/>
  <c r="P78" i="15"/>
  <c r="O78" i="15"/>
  <c r="N78" i="15"/>
  <c r="P77" i="15"/>
  <c r="O77" i="15"/>
  <c r="N77" i="15"/>
  <c r="P76" i="15"/>
  <c r="O76" i="15"/>
  <c r="N76" i="15"/>
  <c r="P75" i="15"/>
  <c r="O75" i="15"/>
  <c r="N75" i="15"/>
  <c r="B75" i="15"/>
  <c r="P69" i="15"/>
  <c r="O69" i="15"/>
  <c r="N69" i="15"/>
  <c r="P68" i="15"/>
  <c r="O68" i="15"/>
  <c r="N68" i="15"/>
  <c r="P67" i="15"/>
  <c r="O67" i="15"/>
  <c r="N67" i="15"/>
  <c r="P66" i="15"/>
  <c r="O66" i="15"/>
  <c r="N66" i="15"/>
  <c r="P65" i="15"/>
  <c r="O65" i="15"/>
  <c r="N65" i="15"/>
  <c r="B65" i="15"/>
  <c r="P59" i="15"/>
  <c r="O59" i="15"/>
  <c r="N59" i="15"/>
  <c r="P58" i="15"/>
  <c r="O58" i="15"/>
  <c r="N58" i="15"/>
  <c r="P57" i="15"/>
  <c r="O57" i="15"/>
  <c r="N57" i="15"/>
  <c r="P56" i="15"/>
  <c r="O56" i="15"/>
  <c r="N56" i="15"/>
  <c r="P55" i="15"/>
  <c r="O55" i="15"/>
  <c r="N55" i="15"/>
  <c r="B55" i="15"/>
  <c r="P49" i="15"/>
  <c r="O49" i="15"/>
  <c r="N49" i="15"/>
  <c r="P48" i="15"/>
  <c r="O48" i="15"/>
  <c r="N48" i="15"/>
  <c r="P47" i="15"/>
  <c r="O47" i="15"/>
  <c r="N47" i="15"/>
  <c r="P46" i="15"/>
  <c r="O46" i="15"/>
  <c r="N46" i="15"/>
  <c r="P45" i="15"/>
  <c r="O45" i="15"/>
  <c r="N45" i="15"/>
  <c r="B45" i="15"/>
  <c r="A1048576" i="15"/>
  <c r="P39" i="15"/>
  <c r="O39" i="15"/>
  <c r="N39" i="15"/>
  <c r="P38" i="15"/>
  <c r="O38" i="15"/>
  <c r="N38" i="15"/>
  <c r="P37" i="15"/>
  <c r="O37" i="15"/>
  <c r="N37" i="15"/>
  <c r="P36" i="15"/>
  <c r="O36" i="15"/>
  <c r="N36" i="15"/>
  <c r="P35" i="15"/>
  <c r="O35" i="15"/>
  <c r="N35" i="15"/>
  <c r="B35" i="15"/>
  <c r="P29" i="15"/>
  <c r="O29" i="15"/>
  <c r="N29" i="15"/>
  <c r="P28" i="15"/>
  <c r="O28" i="15"/>
  <c r="N28" i="15"/>
  <c r="P27" i="15"/>
  <c r="O27" i="15"/>
  <c r="N27" i="15"/>
  <c r="P26" i="15"/>
  <c r="O26" i="15"/>
  <c r="N26" i="15"/>
  <c r="P25" i="15"/>
  <c r="O25" i="15"/>
  <c r="N25" i="15"/>
  <c r="B25" i="15"/>
  <c r="P19" i="15"/>
  <c r="O19" i="15"/>
  <c r="N19" i="15"/>
  <c r="P18" i="15"/>
  <c r="O18" i="15"/>
  <c r="N18" i="15"/>
  <c r="P17" i="15"/>
  <c r="O17" i="15"/>
  <c r="N17" i="15"/>
  <c r="P16" i="15"/>
  <c r="O16" i="15"/>
  <c r="N16" i="15"/>
  <c r="P15" i="15"/>
  <c r="O15" i="15"/>
  <c r="N15" i="15"/>
  <c r="B15" i="15"/>
  <c r="P9" i="15"/>
  <c r="O9" i="15"/>
  <c r="N9" i="15"/>
  <c r="P8" i="15"/>
  <c r="O8" i="15"/>
  <c r="N8" i="15"/>
  <c r="P7" i="15"/>
  <c r="O7" i="15"/>
  <c r="N7" i="15"/>
  <c r="P6" i="15"/>
  <c r="O6" i="15"/>
  <c r="N6" i="15"/>
  <c r="P5" i="15"/>
  <c r="O5" i="15"/>
  <c r="N5" i="15"/>
  <c r="B5" i="15"/>
  <c r="N170" i="15" l="1"/>
  <c r="O170" i="15"/>
  <c r="O160" i="15"/>
  <c r="P160" i="15"/>
  <c r="N150" i="15"/>
  <c r="O120" i="15"/>
  <c r="P150" i="15"/>
  <c r="N160" i="15"/>
  <c r="P170" i="15"/>
  <c r="P180" i="15"/>
  <c r="P190" i="15"/>
  <c r="P200" i="15"/>
  <c r="N110" i="15"/>
  <c r="N120" i="15"/>
  <c r="O110" i="15"/>
  <c r="N130" i="15"/>
  <c r="N140" i="15"/>
  <c r="P110" i="15"/>
  <c r="P120" i="15"/>
  <c r="O130" i="15"/>
  <c r="O140" i="15"/>
  <c r="P130" i="15"/>
  <c r="P140" i="15"/>
  <c r="O150" i="15"/>
  <c r="P100" i="15"/>
  <c r="N100" i="15"/>
  <c r="O100" i="15"/>
  <c r="N90" i="15"/>
  <c r="O90" i="15"/>
  <c r="P90" i="15"/>
  <c r="N80" i="15"/>
  <c r="O80" i="15"/>
  <c r="P80" i="15"/>
  <c r="P70" i="15"/>
  <c r="O70" i="15"/>
  <c r="N70" i="15"/>
  <c r="P60" i="15"/>
  <c r="O60" i="15"/>
  <c r="N60" i="15"/>
  <c r="P50" i="15"/>
  <c r="O50" i="15"/>
  <c r="N50" i="15"/>
  <c r="N40" i="15"/>
  <c r="O40" i="15"/>
  <c r="P40" i="15"/>
  <c r="P30" i="15"/>
  <c r="N30" i="15"/>
  <c r="O30" i="15"/>
  <c r="N20" i="15"/>
  <c r="O20" i="15"/>
  <c r="P20" i="15"/>
  <c r="O10" i="15"/>
  <c r="N10" i="15"/>
  <c r="P10" i="15"/>
  <c r="P299" i="14"/>
  <c r="O299" i="14"/>
  <c r="N299" i="14"/>
  <c r="P298" i="14"/>
  <c r="O298" i="14"/>
  <c r="N298" i="14"/>
  <c r="P297" i="14"/>
  <c r="O297" i="14"/>
  <c r="N297" i="14"/>
  <c r="P296" i="14"/>
  <c r="O296" i="14"/>
  <c r="N296" i="14"/>
  <c r="P295" i="14"/>
  <c r="O295" i="14"/>
  <c r="N295" i="14"/>
  <c r="B295" i="14"/>
  <c r="P289" i="14"/>
  <c r="O289" i="14"/>
  <c r="N289" i="14"/>
  <c r="P288" i="14"/>
  <c r="O288" i="14"/>
  <c r="N288" i="14"/>
  <c r="P287" i="14"/>
  <c r="O287" i="14"/>
  <c r="N287" i="14"/>
  <c r="P286" i="14"/>
  <c r="O286" i="14"/>
  <c r="N286" i="14"/>
  <c r="P285" i="14"/>
  <c r="O285" i="14"/>
  <c r="N285" i="14"/>
  <c r="B285" i="14"/>
  <c r="P279" i="14"/>
  <c r="O279" i="14"/>
  <c r="N279" i="14"/>
  <c r="P278" i="14"/>
  <c r="O278" i="14"/>
  <c r="N278" i="14"/>
  <c r="P277" i="14"/>
  <c r="O277" i="14"/>
  <c r="N277" i="14"/>
  <c r="P276" i="14"/>
  <c r="O276" i="14"/>
  <c r="N276" i="14"/>
  <c r="P275" i="14"/>
  <c r="O275" i="14"/>
  <c r="N275" i="14"/>
  <c r="B275" i="14"/>
  <c r="N300" i="14" l="1"/>
  <c r="O300" i="14"/>
  <c r="P300" i="14"/>
  <c r="N290" i="14"/>
  <c r="O290" i="14"/>
  <c r="P290" i="14"/>
  <c r="O280" i="14"/>
  <c r="P280" i="14"/>
  <c r="N280" i="14"/>
  <c r="P269" i="14"/>
  <c r="O269" i="14"/>
  <c r="N269" i="14"/>
  <c r="P268" i="14"/>
  <c r="O268" i="14"/>
  <c r="N268" i="14"/>
  <c r="P267" i="14"/>
  <c r="O267" i="14"/>
  <c r="N267" i="14"/>
  <c r="P266" i="14"/>
  <c r="O266" i="14"/>
  <c r="N266" i="14"/>
  <c r="P265" i="14"/>
  <c r="O265" i="14"/>
  <c r="N265" i="14"/>
  <c r="B265" i="14"/>
  <c r="P259" i="14"/>
  <c r="O259" i="14"/>
  <c r="N259" i="14"/>
  <c r="P258" i="14"/>
  <c r="O258" i="14"/>
  <c r="N258" i="14"/>
  <c r="P257" i="14"/>
  <c r="O257" i="14"/>
  <c r="N257" i="14"/>
  <c r="P256" i="14"/>
  <c r="O256" i="14"/>
  <c r="N256" i="14"/>
  <c r="P255" i="14"/>
  <c r="O255" i="14"/>
  <c r="N255" i="14"/>
  <c r="B255" i="14"/>
  <c r="P249" i="14"/>
  <c r="O249" i="14"/>
  <c r="N249" i="14"/>
  <c r="P248" i="14"/>
  <c r="O248" i="14"/>
  <c r="N248" i="14"/>
  <c r="P247" i="14"/>
  <c r="O247" i="14"/>
  <c r="N247" i="14"/>
  <c r="P246" i="14"/>
  <c r="O246" i="14"/>
  <c r="N246" i="14"/>
  <c r="P245" i="14"/>
  <c r="O245" i="14"/>
  <c r="N245" i="14"/>
  <c r="B245" i="14"/>
  <c r="P239" i="14"/>
  <c r="O239" i="14"/>
  <c r="N239" i="14"/>
  <c r="P238" i="14"/>
  <c r="O238" i="14"/>
  <c r="N238" i="14"/>
  <c r="P237" i="14"/>
  <c r="O237" i="14"/>
  <c r="N237" i="14"/>
  <c r="P236" i="14"/>
  <c r="O236" i="14"/>
  <c r="N236" i="14"/>
  <c r="P235" i="14"/>
  <c r="O235" i="14"/>
  <c r="N235" i="14"/>
  <c r="B235" i="14"/>
  <c r="P229" i="14"/>
  <c r="O229" i="14"/>
  <c r="N229" i="14"/>
  <c r="P228" i="14"/>
  <c r="O228" i="14"/>
  <c r="N228" i="14"/>
  <c r="P227" i="14"/>
  <c r="O227" i="14"/>
  <c r="N227" i="14"/>
  <c r="P226" i="14"/>
  <c r="O226" i="14"/>
  <c r="N226" i="14"/>
  <c r="P225" i="14"/>
  <c r="O225" i="14"/>
  <c r="N225" i="14"/>
  <c r="B225" i="14"/>
  <c r="P219" i="14"/>
  <c r="O219" i="14"/>
  <c r="N219" i="14"/>
  <c r="P218" i="14"/>
  <c r="O218" i="14"/>
  <c r="N218" i="14"/>
  <c r="P217" i="14"/>
  <c r="O217" i="14"/>
  <c r="N217" i="14"/>
  <c r="P216" i="14"/>
  <c r="O216" i="14"/>
  <c r="N216" i="14"/>
  <c r="P215" i="14"/>
  <c r="O215" i="14"/>
  <c r="N215" i="14"/>
  <c r="B215" i="14"/>
  <c r="P209" i="14"/>
  <c r="O209" i="14"/>
  <c r="N209" i="14"/>
  <c r="P208" i="14"/>
  <c r="O208" i="14"/>
  <c r="N208" i="14"/>
  <c r="P207" i="14"/>
  <c r="O207" i="14"/>
  <c r="N207" i="14"/>
  <c r="P206" i="14"/>
  <c r="O206" i="14"/>
  <c r="N206" i="14"/>
  <c r="P205" i="14"/>
  <c r="O205" i="14"/>
  <c r="N205" i="14"/>
  <c r="B205" i="14"/>
  <c r="P199" i="14"/>
  <c r="O199" i="14"/>
  <c r="N199" i="14"/>
  <c r="P198" i="14"/>
  <c r="O198" i="14"/>
  <c r="N198" i="14"/>
  <c r="P197" i="14"/>
  <c r="O197" i="14"/>
  <c r="N197" i="14"/>
  <c r="P196" i="14"/>
  <c r="O196" i="14"/>
  <c r="N196" i="14"/>
  <c r="P195" i="14"/>
  <c r="O195" i="14"/>
  <c r="N195" i="14"/>
  <c r="B195" i="14"/>
  <c r="P189" i="14"/>
  <c r="O189" i="14"/>
  <c r="N189" i="14"/>
  <c r="P188" i="14"/>
  <c r="O188" i="14"/>
  <c r="N188" i="14"/>
  <c r="P187" i="14"/>
  <c r="O187" i="14"/>
  <c r="N187" i="14"/>
  <c r="P186" i="14"/>
  <c r="O186" i="14"/>
  <c r="N186" i="14"/>
  <c r="P185" i="14"/>
  <c r="O185" i="14"/>
  <c r="N185" i="14"/>
  <c r="B185" i="14"/>
  <c r="P179" i="14"/>
  <c r="O179" i="14"/>
  <c r="N179" i="14"/>
  <c r="P178" i="14"/>
  <c r="O178" i="14"/>
  <c r="N178" i="14"/>
  <c r="P177" i="14"/>
  <c r="O177" i="14"/>
  <c r="N177" i="14"/>
  <c r="P176" i="14"/>
  <c r="O176" i="14"/>
  <c r="N176" i="14"/>
  <c r="P175" i="14"/>
  <c r="O175" i="14"/>
  <c r="N175" i="14"/>
  <c r="B175" i="14"/>
  <c r="P169" i="14"/>
  <c r="O169" i="14"/>
  <c r="N169" i="14"/>
  <c r="P168" i="14"/>
  <c r="O168" i="14"/>
  <c r="N168" i="14"/>
  <c r="P167" i="14"/>
  <c r="O167" i="14"/>
  <c r="N167" i="14"/>
  <c r="P166" i="14"/>
  <c r="O166" i="14"/>
  <c r="N166" i="14"/>
  <c r="P165" i="14"/>
  <c r="O165" i="14"/>
  <c r="N165" i="14"/>
  <c r="B165" i="14"/>
  <c r="P159" i="14"/>
  <c r="O159" i="14"/>
  <c r="N159" i="14"/>
  <c r="P158" i="14"/>
  <c r="O158" i="14"/>
  <c r="N158" i="14"/>
  <c r="P157" i="14"/>
  <c r="O157" i="14"/>
  <c r="N157" i="14"/>
  <c r="P156" i="14"/>
  <c r="O156" i="14"/>
  <c r="N156" i="14"/>
  <c r="P155" i="14"/>
  <c r="O155" i="14"/>
  <c r="N155" i="14"/>
  <c r="B155" i="14"/>
  <c r="P149" i="14"/>
  <c r="O149" i="14"/>
  <c r="N149" i="14"/>
  <c r="P148" i="14"/>
  <c r="O148" i="14"/>
  <c r="N148" i="14"/>
  <c r="P147" i="14"/>
  <c r="O147" i="14"/>
  <c r="N147" i="14"/>
  <c r="P146" i="14"/>
  <c r="O146" i="14"/>
  <c r="N146" i="14"/>
  <c r="P145" i="14"/>
  <c r="O145" i="14"/>
  <c r="N145" i="14"/>
  <c r="B145" i="14"/>
  <c r="P139" i="14"/>
  <c r="O139" i="14"/>
  <c r="N139" i="14"/>
  <c r="P138" i="14"/>
  <c r="O138" i="14"/>
  <c r="N138" i="14"/>
  <c r="P137" i="14"/>
  <c r="O137" i="14"/>
  <c r="N137" i="14"/>
  <c r="P136" i="14"/>
  <c r="O136" i="14"/>
  <c r="N136" i="14"/>
  <c r="P135" i="14"/>
  <c r="O135" i="14"/>
  <c r="N135" i="14"/>
  <c r="B135" i="14"/>
  <c r="N270" i="14" l="1"/>
  <c r="N230" i="14"/>
  <c r="O240" i="14"/>
  <c r="P170" i="14"/>
  <c r="P180" i="14"/>
  <c r="P190" i="14"/>
  <c r="P200" i="14"/>
  <c r="P210" i="14"/>
  <c r="P220" i="14"/>
  <c r="P230" i="14"/>
  <c r="P250" i="14"/>
  <c r="P260" i="14"/>
  <c r="P270" i="14"/>
  <c r="P240" i="14"/>
  <c r="O250" i="14"/>
  <c r="N250" i="14"/>
  <c r="N260" i="14"/>
  <c r="O270" i="14"/>
  <c r="O260" i="14"/>
  <c r="N170" i="14"/>
  <c r="N180" i="14"/>
  <c r="N190" i="14"/>
  <c r="N200" i="14"/>
  <c r="N210" i="14"/>
  <c r="N220" i="14"/>
  <c r="O170" i="14"/>
  <c r="O180" i="14"/>
  <c r="O190" i="14"/>
  <c r="O200" i="14"/>
  <c r="O210" i="14"/>
  <c r="O220" i="14"/>
  <c r="O230" i="14"/>
  <c r="N240" i="14"/>
  <c r="P160" i="14"/>
  <c r="O160" i="14"/>
  <c r="N160" i="14"/>
  <c r="P150" i="14"/>
  <c r="N150" i="14"/>
  <c r="O150" i="14"/>
  <c r="N140" i="14"/>
  <c r="O140" i="14"/>
  <c r="P140" i="14"/>
  <c r="P129" i="14"/>
  <c r="O129" i="14"/>
  <c r="N129" i="14"/>
  <c r="P128" i="14"/>
  <c r="O128" i="14"/>
  <c r="N128" i="14"/>
  <c r="P127" i="14"/>
  <c r="O127" i="14"/>
  <c r="N127" i="14"/>
  <c r="P126" i="14"/>
  <c r="O126" i="14"/>
  <c r="N126" i="14"/>
  <c r="P125" i="14"/>
  <c r="O125" i="14"/>
  <c r="N125" i="14"/>
  <c r="B125" i="14"/>
  <c r="P119" i="14"/>
  <c r="O119" i="14"/>
  <c r="N119" i="14"/>
  <c r="P118" i="14"/>
  <c r="O118" i="14"/>
  <c r="N118" i="14"/>
  <c r="P117" i="14"/>
  <c r="O117" i="14"/>
  <c r="N117" i="14"/>
  <c r="P116" i="14"/>
  <c r="O116" i="14"/>
  <c r="N116" i="14"/>
  <c r="P115" i="14"/>
  <c r="O115" i="14"/>
  <c r="N115" i="14"/>
  <c r="B115" i="14"/>
  <c r="P109" i="14"/>
  <c r="O109" i="14"/>
  <c r="N109" i="14"/>
  <c r="P108" i="14"/>
  <c r="O108" i="14"/>
  <c r="N108" i="14"/>
  <c r="P107" i="14"/>
  <c r="O107" i="14"/>
  <c r="N107" i="14"/>
  <c r="P106" i="14"/>
  <c r="O106" i="14"/>
  <c r="N106" i="14"/>
  <c r="P105" i="14"/>
  <c r="O105" i="14"/>
  <c r="N105" i="14"/>
  <c r="B105" i="14"/>
  <c r="P99" i="14"/>
  <c r="O99" i="14"/>
  <c r="N99" i="14"/>
  <c r="P98" i="14"/>
  <c r="O98" i="14"/>
  <c r="N98" i="14"/>
  <c r="P97" i="14"/>
  <c r="O97" i="14"/>
  <c r="N97" i="14"/>
  <c r="P96" i="14"/>
  <c r="O96" i="14"/>
  <c r="N96" i="14"/>
  <c r="P95" i="14"/>
  <c r="O95" i="14"/>
  <c r="N95" i="14"/>
  <c r="B95" i="14"/>
  <c r="P89" i="14"/>
  <c r="O89" i="14"/>
  <c r="N89" i="14"/>
  <c r="P88" i="14"/>
  <c r="O88" i="14"/>
  <c r="N88" i="14"/>
  <c r="P87" i="14"/>
  <c r="O87" i="14"/>
  <c r="N87" i="14"/>
  <c r="P86" i="14"/>
  <c r="O86" i="14"/>
  <c r="N86" i="14"/>
  <c r="P85" i="14"/>
  <c r="O85" i="14"/>
  <c r="N85" i="14"/>
  <c r="B85" i="14"/>
  <c r="P79" i="14"/>
  <c r="O79" i="14"/>
  <c r="N79" i="14"/>
  <c r="P78" i="14"/>
  <c r="O78" i="14"/>
  <c r="N78" i="14"/>
  <c r="P77" i="14"/>
  <c r="O77" i="14"/>
  <c r="N77" i="14"/>
  <c r="P76" i="14"/>
  <c r="O76" i="14"/>
  <c r="N76" i="14"/>
  <c r="P75" i="14"/>
  <c r="O75" i="14"/>
  <c r="N75" i="14"/>
  <c r="B75" i="14"/>
  <c r="P69" i="14"/>
  <c r="O69" i="14"/>
  <c r="N69" i="14"/>
  <c r="P68" i="14"/>
  <c r="O68" i="14"/>
  <c r="N68" i="14"/>
  <c r="P67" i="14"/>
  <c r="O67" i="14"/>
  <c r="N67" i="14"/>
  <c r="P66" i="14"/>
  <c r="O66" i="14"/>
  <c r="N66" i="14"/>
  <c r="P65" i="14"/>
  <c r="O65" i="14"/>
  <c r="N65" i="14"/>
  <c r="B65" i="14"/>
  <c r="P59" i="14"/>
  <c r="O59" i="14"/>
  <c r="N59" i="14"/>
  <c r="P58" i="14"/>
  <c r="O58" i="14"/>
  <c r="N58" i="14"/>
  <c r="P57" i="14"/>
  <c r="O57" i="14"/>
  <c r="N57" i="14"/>
  <c r="P56" i="14"/>
  <c r="O56" i="14"/>
  <c r="N56" i="14"/>
  <c r="P55" i="14"/>
  <c r="O55" i="14"/>
  <c r="N55" i="14"/>
  <c r="B55" i="14"/>
  <c r="P49" i="14"/>
  <c r="O49" i="14"/>
  <c r="N49" i="14"/>
  <c r="P48" i="14"/>
  <c r="O48" i="14"/>
  <c r="N48" i="14"/>
  <c r="P47" i="14"/>
  <c r="O47" i="14"/>
  <c r="N47" i="14"/>
  <c r="P46" i="14"/>
  <c r="O46" i="14"/>
  <c r="N46" i="14"/>
  <c r="P45" i="14"/>
  <c r="O45" i="14"/>
  <c r="N45" i="14"/>
  <c r="B45" i="14"/>
  <c r="A1048576" i="14"/>
  <c r="P39" i="14"/>
  <c r="O39" i="14"/>
  <c r="N39" i="14"/>
  <c r="P38" i="14"/>
  <c r="O38" i="14"/>
  <c r="N38" i="14"/>
  <c r="P37" i="14"/>
  <c r="O37" i="14"/>
  <c r="N37" i="14"/>
  <c r="P36" i="14"/>
  <c r="O36" i="14"/>
  <c r="N36" i="14"/>
  <c r="P35" i="14"/>
  <c r="O35" i="14"/>
  <c r="N35" i="14"/>
  <c r="B35" i="14"/>
  <c r="P29" i="14"/>
  <c r="O29" i="14"/>
  <c r="N29" i="14"/>
  <c r="P28" i="14"/>
  <c r="O28" i="14"/>
  <c r="N28" i="14"/>
  <c r="P27" i="14"/>
  <c r="O27" i="14"/>
  <c r="N27" i="14"/>
  <c r="P26" i="14"/>
  <c r="O26" i="14"/>
  <c r="N26" i="14"/>
  <c r="P25" i="14"/>
  <c r="O25" i="14"/>
  <c r="N25" i="14"/>
  <c r="B25" i="14"/>
  <c r="P19" i="14"/>
  <c r="O19" i="14"/>
  <c r="N19" i="14"/>
  <c r="P18" i="14"/>
  <c r="O18" i="14"/>
  <c r="N18" i="14"/>
  <c r="P17" i="14"/>
  <c r="O17" i="14"/>
  <c r="N17" i="14"/>
  <c r="P16" i="14"/>
  <c r="O16" i="14"/>
  <c r="N16" i="14"/>
  <c r="P15" i="14"/>
  <c r="O15" i="14"/>
  <c r="N15" i="14"/>
  <c r="B15" i="14"/>
  <c r="P9" i="14"/>
  <c r="O9" i="14"/>
  <c r="N9" i="14"/>
  <c r="P8" i="14"/>
  <c r="O8" i="14"/>
  <c r="N8" i="14"/>
  <c r="P7" i="14"/>
  <c r="O7" i="14"/>
  <c r="N7" i="14"/>
  <c r="P6" i="14"/>
  <c r="O6" i="14"/>
  <c r="N6" i="14"/>
  <c r="P5" i="14"/>
  <c r="O5" i="14"/>
  <c r="N5" i="14"/>
  <c r="B5" i="14"/>
  <c r="N50" i="14" l="1"/>
  <c r="N130" i="14"/>
  <c r="O130" i="14"/>
  <c r="P130" i="14"/>
  <c r="N120" i="14"/>
  <c r="O120" i="14"/>
  <c r="P120" i="14"/>
  <c r="O110" i="14"/>
  <c r="P110" i="14"/>
  <c r="N110" i="14"/>
  <c r="P100" i="14"/>
  <c r="O100" i="14"/>
  <c r="N100" i="14"/>
  <c r="N90" i="14"/>
  <c r="O90" i="14"/>
  <c r="P90" i="14"/>
  <c r="O80" i="14"/>
  <c r="N80" i="14"/>
  <c r="P80" i="14"/>
  <c r="O70" i="14"/>
  <c r="P70" i="14"/>
  <c r="N70" i="14"/>
  <c r="O60" i="14"/>
  <c r="P60" i="14"/>
  <c r="N60" i="14"/>
  <c r="P50" i="14"/>
  <c r="O50" i="14"/>
  <c r="P40" i="14"/>
  <c r="N40" i="14"/>
  <c r="O40" i="14"/>
  <c r="P30" i="14"/>
  <c r="N30" i="14"/>
  <c r="O30" i="14"/>
  <c r="P20" i="14"/>
  <c r="N20" i="14"/>
  <c r="O20" i="14"/>
  <c r="N10" i="14"/>
  <c r="O10" i="14"/>
  <c r="P10" i="14"/>
  <c r="P309" i="12"/>
  <c r="O309" i="12"/>
  <c r="N309" i="12"/>
  <c r="P308" i="12"/>
  <c r="O308" i="12"/>
  <c r="N308" i="12"/>
  <c r="P307" i="12"/>
  <c r="O307" i="12"/>
  <c r="N307" i="12"/>
  <c r="P306" i="12"/>
  <c r="O306" i="12"/>
  <c r="N306" i="12"/>
  <c r="P305" i="12"/>
  <c r="O305" i="12"/>
  <c r="N305" i="12"/>
  <c r="B305" i="12"/>
  <c r="P299" i="12"/>
  <c r="O299" i="12"/>
  <c r="N299" i="12"/>
  <c r="P298" i="12"/>
  <c r="O298" i="12"/>
  <c r="N298" i="12"/>
  <c r="P297" i="12"/>
  <c r="O297" i="12"/>
  <c r="N297" i="12"/>
  <c r="P296" i="12"/>
  <c r="O296" i="12"/>
  <c r="N296" i="12"/>
  <c r="P295" i="12"/>
  <c r="O295" i="12"/>
  <c r="N295" i="12"/>
  <c r="B295" i="12"/>
  <c r="P289" i="12"/>
  <c r="O289" i="12"/>
  <c r="N289" i="12"/>
  <c r="P288" i="12"/>
  <c r="O288" i="12"/>
  <c r="N288" i="12"/>
  <c r="P287" i="12"/>
  <c r="O287" i="12"/>
  <c r="N287" i="12"/>
  <c r="P286" i="12"/>
  <c r="O286" i="12"/>
  <c r="N286" i="12"/>
  <c r="P285" i="12"/>
  <c r="O285" i="12"/>
  <c r="N285" i="12"/>
  <c r="B285" i="12"/>
  <c r="P279" i="12"/>
  <c r="O279" i="12"/>
  <c r="N279" i="12"/>
  <c r="P278" i="12"/>
  <c r="O278" i="12"/>
  <c r="N278" i="12"/>
  <c r="P277" i="12"/>
  <c r="O277" i="12"/>
  <c r="N277" i="12"/>
  <c r="P276" i="12"/>
  <c r="O276" i="12"/>
  <c r="N276" i="12"/>
  <c r="P275" i="12"/>
  <c r="O275" i="12"/>
  <c r="N275" i="12"/>
  <c r="B275" i="12"/>
  <c r="P269" i="12"/>
  <c r="O269" i="12"/>
  <c r="N269" i="12"/>
  <c r="P268" i="12"/>
  <c r="O268" i="12"/>
  <c r="N268" i="12"/>
  <c r="P267" i="12"/>
  <c r="O267" i="12"/>
  <c r="N267" i="12"/>
  <c r="P266" i="12"/>
  <c r="O266" i="12"/>
  <c r="N266" i="12"/>
  <c r="P265" i="12"/>
  <c r="O265" i="12"/>
  <c r="N265" i="12"/>
  <c r="B265" i="12"/>
  <c r="P259" i="12"/>
  <c r="O259" i="12"/>
  <c r="N259" i="12"/>
  <c r="P258" i="12"/>
  <c r="O258" i="12"/>
  <c r="N258" i="12"/>
  <c r="P257" i="12"/>
  <c r="O257" i="12"/>
  <c r="N257" i="12"/>
  <c r="P256" i="12"/>
  <c r="O256" i="12"/>
  <c r="N256" i="12"/>
  <c r="P255" i="12"/>
  <c r="O255" i="12"/>
  <c r="N255" i="12"/>
  <c r="B255" i="12"/>
  <c r="N260" i="12" l="1"/>
  <c r="N270" i="12"/>
  <c r="N280" i="12"/>
  <c r="N290" i="12"/>
  <c r="N300" i="12"/>
  <c r="N310" i="12"/>
  <c r="O260" i="12"/>
  <c r="O270" i="12"/>
  <c r="O280" i="12"/>
  <c r="O290" i="12"/>
  <c r="O300" i="12"/>
  <c r="O310" i="12"/>
  <c r="P260" i="12"/>
  <c r="P270" i="12"/>
  <c r="P280" i="12"/>
  <c r="P290" i="12"/>
  <c r="P300" i="12"/>
  <c r="P310" i="12"/>
  <c r="AE11" i="3"/>
  <c r="AF11" i="3"/>
  <c r="AD11" i="3"/>
  <c r="P249" i="12" l="1"/>
  <c r="O249" i="12"/>
  <c r="N249" i="12"/>
  <c r="P248" i="12"/>
  <c r="O248" i="12"/>
  <c r="N248" i="12"/>
  <c r="P247" i="12"/>
  <c r="O247" i="12"/>
  <c r="N247" i="12"/>
  <c r="P246" i="12"/>
  <c r="O246" i="12"/>
  <c r="N246" i="12"/>
  <c r="P245" i="12"/>
  <c r="O245" i="12"/>
  <c r="N245" i="12"/>
  <c r="B245" i="12"/>
  <c r="P239" i="12"/>
  <c r="O239" i="12"/>
  <c r="N239" i="12"/>
  <c r="P238" i="12"/>
  <c r="O238" i="12"/>
  <c r="N238" i="12"/>
  <c r="P237" i="12"/>
  <c r="O237" i="12"/>
  <c r="N237" i="12"/>
  <c r="P236" i="12"/>
  <c r="O236" i="12"/>
  <c r="N236" i="12"/>
  <c r="P235" i="12"/>
  <c r="O235" i="12"/>
  <c r="N235" i="12"/>
  <c r="B235" i="12"/>
  <c r="P229" i="12"/>
  <c r="O229" i="12"/>
  <c r="N229" i="12"/>
  <c r="P228" i="12"/>
  <c r="O228" i="12"/>
  <c r="N228" i="12"/>
  <c r="P227" i="12"/>
  <c r="O227" i="12"/>
  <c r="N227" i="12"/>
  <c r="P226" i="12"/>
  <c r="O226" i="12"/>
  <c r="N226" i="12"/>
  <c r="P225" i="12"/>
  <c r="O225" i="12"/>
  <c r="N225" i="12"/>
  <c r="B225" i="12"/>
  <c r="P219" i="12"/>
  <c r="O219" i="12"/>
  <c r="N219" i="12"/>
  <c r="P218" i="12"/>
  <c r="O218" i="12"/>
  <c r="N218" i="12"/>
  <c r="P217" i="12"/>
  <c r="O217" i="12"/>
  <c r="N217" i="12"/>
  <c r="P216" i="12"/>
  <c r="O216" i="12"/>
  <c r="N216" i="12"/>
  <c r="P215" i="12"/>
  <c r="O215" i="12"/>
  <c r="N215" i="12"/>
  <c r="B215" i="12"/>
  <c r="A94" i="11"/>
  <c r="A95" i="11"/>
  <c r="A96" i="11"/>
  <c r="A88" i="11"/>
  <c r="A89" i="11"/>
  <c r="A90" i="11"/>
  <c r="A91" i="11"/>
  <c r="A92" i="11"/>
  <c r="A93" i="11"/>
  <c r="A70" i="11"/>
  <c r="A71" i="11"/>
  <c r="A72" i="11"/>
  <c r="A73" i="11"/>
  <c r="A74" i="11"/>
  <c r="A75" i="11"/>
  <c r="A76" i="11"/>
  <c r="A77" i="11"/>
  <c r="A78" i="11"/>
  <c r="A79" i="11"/>
  <c r="A80" i="11"/>
  <c r="A81" i="11"/>
  <c r="A82" i="11"/>
  <c r="A83" i="11"/>
  <c r="A84" i="11"/>
  <c r="A85" i="11"/>
  <c r="A86" i="11"/>
  <c r="A87" i="11"/>
  <c r="A69" i="11"/>
  <c r="A6" i="11"/>
  <c r="A7" i="11"/>
  <c r="A8" i="11"/>
  <c r="A9" i="11"/>
  <c r="A10" i="11"/>
  <c r="A11" i="11"/>
  <c r="A12" i="11"/>
  <c r="A13" i="11"/>
  <c r="A14" i="11"/>
  <c r="A15" i="11"/>
  <c r="A16" i="11"/>
  <c r="A17" i="11"/>
  <c r="A18" i="11"/>
  <c r="A19" i="11"/>
  <c r="A20" i="11"/>
  <c r="A21" i="11"/>
  <c r="A22" i="11"/>
  <c r="A5" i="11"/>
  <c r="N250" i="12" l="1"/>
  <c r="O250" i="12"/>
  <c r="P250" i="12"/>
  <c r="N240" i="12"/>
  <c r="O240" i="12"/>
  <c r="P240" i="12"/>
  <c r="N230" i="12"/>
  <c r="O230" i="12"/>
  <c r="P230" i="12"/>
  <c r="N220" i="12"/>
  <c r="O220" i="12"/>
  <c r="P220" i="12"/>
  <c r="P209" i="12"/>
  <c r="O209" i="12"/>
  <c r="N209" i="12"/>
  <c r="P208" i="12"/>
  <c r="O208" i="12"/>
  <c r="N208" i="12"/>
  <c r="P207" i="12"/>
  <c r="O207" i="12"/>
  <c r="N207" i="12"/>
  <c r="P206" i="12"/>
  <c r="O206" i="12"/>
  <c r="N206" i="12"/>
  <c r="P205" i="12"/>
  <c r="O205" i="12"/>
  <c r="N205" i="12"/>
  <c r="B205" i="12"/>
  <c r="P199" i="12"/>
  <c r="O199" i="12"/>
  <c r="N199" i="12"/>
  <c r="P198" i="12"/>
  <c r="O198" i="12"/>
  <c r="N198" i="12"/>
  <c r="P197" i="12"/>
  <c r="O197" i="12"/>
  <c r="N197" i="12"/>
  <c r="P196" i="12"/>
  <c r="O196" i="12"/>
  <c r="N196" i="12"/>
  <c r="P195" i="12"/>
  <c r="O195" i="12"/>
  <c r="N195" i="12"/>
  <c r="B195" i="12"/>
  <c r="P189" i="12"/>
  <c r="O189" i="12"/>
  <c r="N189" i="12"/>
  <c r="P188" i="12"/>
  <c r="O188" i="12"/>
  <c r="N188" i="12"/>
  <c r="P187" i="12"/>
  <c r="O187" i="12"/>
  <c r="N187" i="12"/>
  <c r="P186" i="12"/>
  <c r="O186" i="12"/>
  <c r="N186" i="12"/>
  <c r="P185" i="12"/>
  <c r="O185" i="12"/>
  <c r="N185" i="12"/>
  <c r="B185" i="12"/>
  <c r="N210" i="12" l="1"/>
  <c r="O190" i="12"/>
  <c r="O200" i="12"/>
  <c r="O210" i="12"/>
  <c r="N190" i="12"/>
  <c r="N200" i="12"/>
  <c r="P190" i="12"/>
  <c r="P200" i="12"/>
  <c r="P210" i="12"/>
  <c r="P179" i="12"/>
  <c r="O179" i="12"/>
  <c r="N179" i="12"/>
  <c r="P178" i="12"/>
  <c r="O178" i="12"/>
  <c r="N178" i="12"/>
  <c r="P177" i="12"/>
  <c r="O177" i="12"/>
  <c r="N177" i="12"/>
  <c r="P176" i="12"/>
  <c r="O176" i="12"/>
  <c r="N176" i="12"/>
  <c r="P175" i="12"/>
  <c r="O175" i="12"/>
  <c r="N175" i="12"/>
  <c r="B175" i="12"/>
  <c r="P169" i="12"/>
  <c r="O169" i="12"/>
  <c r="N169" i="12"/>
  <c r="P168" i="12"/>
  <c r="O168" i="12"/>
  <c r="N168" i="12"/>
  <c r="P167" i="12"/>
  <c r="O167" i="12"/>
  <c r="N167" i="12"/>
  <c r="P166" i="12"/>
  <c r="O166" i="12"/>
  <c r="N166" i="12"/>
  <c r="P165" i="12"/>
  <c r="O165" i="12"/>
  <c r="N165" i="12"/>
  <c r="B165" i="12"/>
  <c r="P159" i="12"/>
  <c r="O159" i="12"/>
  <c r="N159" i="12"/>
  <c r="P158" i="12"/>
  <c r="O158" i="12"/>
  <c r="N158" i="12"/>
  <c r="P157" i="12"/>
  <c r="O157" i="12"/>
  <c r="N157" i="12"/>
  <c r="P156" i="12"/>
  <c r="O156" i="12"/>
  <c r="N156" i="12"/>
  <c r="P155" i="12"/>
  <c r="O155" i="12"/>
  <c r="N155" i="12"/>
  <c r="B155" i="12"/>
  <c r="P149" i="12"/>
  <c r="O149" i="12"/>
  <c r="N149" i="12"/>
  <c r="P148" i="12"/>
  <c r="O148" i="12"/>
  <c r="N148" i="12"/>
  <c r="P147" i="12"/>
  <c r="O147" i="12"/>
  <c r="N147" i="12"/>
  <c r="P146" i="12"/>
  <c r="O146" i="12"/>
  <c r="N146" i="12"/>
  <c r="P145" i="12"/>
  <c r="O145" i="12"/>
  <c r="N145" i="12"/>
  <c r="B145" i="12"/>
  <c r="P139" i="12"/>
  <c r="O139" i="12"/>
  <c r="N139" i="12"/>
  <c r="P138" i="12"/>
  <c r="O138" i="12"/>
  <c r="N138" i="12"/>
  <c r="P137" i="12"/>
  <c r="O137" i="12"/>
  <c r="N137" i="12"/>
  <c r="P136" i="12"/>
  <c r="O136" i="12"/>
  <c r="N136" i="12"/>
  <c r="P135" i="12"/>
  <c r="O135" i="12"/>
  <c r="N135" i="12"/>
  <c r="B135" i="12"/>
  <c r="N180" i="12" l="1"/>
  <c r="O180" i="12"/>
  <c r="P180" i="12"/>
  <c r="P170" i="12"/>
  <c r="N170" i="12"/>
  <c r="O170" i="12"/>
  <c r="P160" i="12"/>
  <c r="O160" i="12"/>
  <c r="N160" i="12"/>
  <c r="P150" i="12"/>
  <c r="O150" i="12"/>
  <c r="N150" i="12"/>
  <c r="O140" i="12"/>
  <c r="P140" i="12"/>
  <c r="N140" i="12"/>
  <c r="P129" i="12"/>
  <c r="O129" i="12"/>
  <c r="N129" i="12"/>
  <c r="P128" i="12"/>
  <c r="O128" i="12"/>
  <c r="N128" i="12"/>
  <c r="P127" i="12"/>
  <c r="O127" i="12"/>
  <c r="N127" i="12"/>
  <c r="P126" i="12"/>
  <c r="O126" i="12"/>
  <c r="N126" i="12"/>
  <c r="P125" i="12"/>
  <c r="O125" i="12"/>
  <c r="N125" i="12"/>
  <c r="B125" i="12"/>
  <c r="P119" i="12"/>
  <c r="O119" i="12"/>
  <c r="N119" i="12"/>
  <c r="P118" i="12"/>
  <c r="O118" i="12"/>
  <c r="N118" i="12"/>
  <c r="P117" i="12"/>
  <c r="O117" i="12"/>
  <c r="N117" i="12"/>
  <c r="P116" i="12"/>
  <c r="O116" i="12"/>
  <c r="N116" i="12"/>
  <c r="P115" i="12"/>
  <c r="O115" i="12"/>
  <c r="N115" i="12"/>
  <c r="B115" i="12"/>
  <c r="P109" i="12"/>
  <c r="O109" i="12"/>
  <c r="N109" i="12"/>
  <c r="P108" i="12"/>
  <c r="O108" i="12"/>
  <c r="N108" i="12"/>
  <c r="P107" i="12"/>
  <c r="O107" i="12"/>
  <c r="N107" i="12"/>
  <c r="P106" i="12"/>
  <c r="O106" i="12"/>
  <c r="N106" i="12"/>
  <c r="P105" i="12"/>
  <c r="O105" i="12"/>
  <c r="N105" i="12"/>
  <c r="B105" i="12"/>
  <c r="O130" i="12" l="1"/>
  <c r="N130" i="12"/>
  <c r="P130" i="12"/>
  <c r="N120" i="12"/>
  <c r="O120" i="12"/>
  <c r="P120" i="12"/>
  <c r="N110" i="12"/>
  <c r="O110" i="12"/>
  <c r="P110" i="12"/>
  <c r="P99" i="12"/>
  <c r="O99" i="12"/>
  <c r="N99" i="12"/>
  <c r="P98" i="12"/>
  <c r="O98" i="12"/>
  <c r="N98" i="12"/>
  <c r="P97" i="12"/>
  <c r="O97" i="12"/>
  <c r="N97" i="12"/>
  <c r="P96" i="12"/>
  <c r="O96" i="12"/>
  <c r="N96" i="12"/>
  <c r="P95" i="12"/>
  <c r="O95" i="12"/>
  <c r="N95" i="12"/>
  <c r="B95" i="12"/>
  <c r="P89" i="12"/>
  <c r="O89" i="12"/>
  <c r="N89" i="12"/>
  <c r="P88" i="12"/>
  <c r="O88" i="12"/>
  <c r="N88" i="12"/>
  <c r="P87" i="12"/>
  <c r="O87" i="12"/>
  <c r="N87" i="12"/>
  <c r="P86" i="12"/>
  <c r="O86" i="12"/>
  <c r="N86" i="12"/>
  <c r="P85" i="12"/>
  <c r="O85" i="12"/>
  <c r="N85" i="12"/>
  <c r="B85" i="12"/>
  <c r="N100" i="12" l="1"/>
  <c r="O100" i="12"/>
  <c r="P100" i="12"/>
  <c r="N90" i="12"/>
  <c r="O90" i="12"/>
  <c r="P90" i="12"/>
  <c r="P79" i="12"/>
  <c r="O79" i="12"/>
  <c r="N79" i="12"/>
  <c r="P78" i="12"/>
  <c r="O78" i="12"/>
  <c r="N78" i="12"/>
  <c r="P77" i="12"/>
  <c r="O77" i="12"/>
  <c r="N77" i="12"/>
  <c r="P76" i="12"/>
  <c r="O76" i="12"/>
  <c r="N76" i="12"/>
  <c r="P75" i="12"/>
  <c r="O75" i="12"/>
  <c r="N75" i="12"/>
  <c r="B75" i="12"/>
  <c r="P69" i="12"/>
  <c r="O69" i="12"/>
  <c r="N69" i="12"/>
  <c r="P68" i="12"/>
  <c r="O68" i="12"/>
  <c r="N68" i="12"/>
  <c r="P67" i="12"/>
  <c r="O67" i="12"/>
  <c r="N67" i="12"/>
  <c r="P66" i="12"/>
  <c r="O66" i="12"/>
  <c r="N66" i="12"/>
  <c r="P65" i="12"/>
  <c r="O65" i="12"/>
  <c r="N65" i="12"/>
  <c r="B65" i="12"/>
  <c r="P59" i="12"/>
  <c r="O59" i="12"/>
  <c r="N59" i="12"/>
  <c r="P58" i="12"/>
  <c r="O58" i="12"/>
  <c r="N58" i="12"/>
  <c r="P57" i="12"/>
  <c r="O57" i="12"/>
  <c r="N57" i="12"/>
  <c r="P56" i="12"/>
  <c r="O56" i="12"/>
  <c r="N56" i="12"/>
  <c r="P55" i="12"/>
  <c r="O55" i="12"/>
  <c r="N55" i="12"/>
  <c r="B55" i="12"/>
  <c r="P49" i="12"/>
  <c r="O49" i="12"/>
  <c r="N49" i="12"/>
  <c r="P48" i="12"/>
  <c r="O48" i="12"/>
  <c r="N48" i="12"/>
  <c r="P47" i="12"/>
  <c r="O47" i="12"/>
  <c r="N47" i="12"/>
  <c r="P46" i="12"/>
  <c r="O46" i="12"/>
  <c r="N46" i="12"/>
  <c r="P45" i="12"/>
  <c r="O45" i="12"/>
  <c r="N45" i="12"/>
  <c r="B45" i="12"/>
  <c r="O80" i="12" l="1"/>
  <c r="P80" i="12"/>
  <c r="N80" i="12"/>
  <c r="N70" i="12"/>
  <c r="P70" i="12"/>
  <c r="O70" i="12"/>
  <c r="N60" i="12"/>
  <c r="O60" i="12"/>
  <c r="P60" i="12"/>
  <c r="N50" i="12"/>
  <c r="P50" i="12"/>
  <c r="O50" i="12"/>
  <c r="A1048576" i="12"/>
  <c r="P39" i="12"/>
  <c r="O39" i="12"/>
  <c r="N39" i="12"/>
  <c r="P38" i="12"/>
  <c r="O38" i="12"/>
  <c r="N38" i="12"/>
  <c r="P37" i="12"/>
  <c r="O37" i="12"/>
  <c r="N37" i="12"/>
  <c r="P36" i="12"/>
  <c r="O36" i="12"/>
  <c r="N36" i="12"/>
  <c r="P35" i="12"/>
  <c r="O35" i="12"/>
  <c r="N35" i="12"/>
  <c r="B35" i="12"/>
  <c r="P29" i="12"/>
  <c r="O29" i="12"/>
  <c r="N29" i="12"/>
  <c r="P28" i="12"/>
  <c r="O28" i="12"/>
  <c r="N28" i="12"/>
  <c r="P27" i="12"/>
  <c r="O27" i="12"/>
  <c r="N27" i="12"/>
  <c r="P26" i="12"/>
  <c r="O26" i="12"/>
  <c r="N26" i="12"/>
  <c r="P25" i="12"/>
  <c r="O25" i="12"/>
  <c r="N25" i="12"/>
  <c r="B25" i="12"/>
  <c r="P19" i="12"/>
  <c r="O19" i="12"/>
  <c r="N19" i="12"/>
  <c r="P18" i="12"/>
  <c r="O18" i="12"/>
  <c r="N18" i="12"/>
  <c r="P17" i="12"/>
  <c r="O17" i="12"/>
  <c r="N17" i="12"/>
  <c r="P16" i="12"/>
  <c r="O16" i="12"/>
  <c r="N16" i="12"/>
  <c r="P15" i="12"/>
  <c r="O15" i="12"/>
  <c r="N15" i="12"/>
  <c r="B15" i="12"/>
  <c r="P9" i="12"/>
  <c r="O9" i="12"/>
  <c r="N9" i="12"/>
  <c r="P8" i="12"/>
  <c r="O8" i="12"/>
  <c r="N8" i="12"/>
  <c r="P7" i="12"/>
  <c r="O7" i="12"/>
  <c r="N7" i="12"/>
  <c r="P6" i="12"/>
  <c r="O6" i="12"/>
  <c r="N6" i="12"/>
  <c r="P5" i="12"/>
  <c r="O5" i="12"/>
  <c r="N5" i="12"/>
  <c r="B5" i="12"/>
  <c r="P40" i="12" l="1"/>
  <c r="N40" i="12"/>
  <c r="O40" i="12"/>
  <c r="N30" i="12"/>
  <c r="O30" i="12"/>
  <c r="P30" i="12"/>
  <c r="N20" i="12"/>
  <c r="O20" i="12"/>
  <c r="P20" i="12"/>
  <c r="P10" i="12"/>
  <c r="O10" i="12"/>
  <c r="N10" i="12"/>
  <c r="AM11" i="3" l="1"/>
  <c r="AL11" i="3"/>
  <c r="AK11" i="3"/>
  <c r="N15" i="10"/>
  <c r="P279" i="10" l="1"/>
  <c r="O279" i="10"/>
  <c r="N279" i="10"/>
  <c r="P278" i="10"/>
  <c r="O278" i="10"/>
  <c r="N278" i="10"/>
  <c r="P277" i="10"/>
  <c r="O277" i="10"/>
  <c r="N277" i="10"/>
  <c r="P276" i="10"/>
  <c r="O276" i="10"/>
  <c r="N276" i="10"/>
  <c r="P275" i="10"/>
  <c r="O275" i="10"/>
  <c r="N275" i="10"/>
  <c r="B275" i="10"/>
  <c r="P269" i="10"/>
  <c r="O269" i="10"/>
  <c r="N269" i="10"/>
  <c r="P268" i="10"/>
  <c r="O268" i="10"/>
  <c r="N268" i="10"/>
  <c r="P267" i="10"/>
  <c r="O267" i="10"/>
  <c r="N267" i="10"/>
  <c r="P266" i="10"/>
  <c r="O266" i="10"/>
  <c r="N266" i="10"/>
  <c r="P265" i="10"/>
  <c r="O265" i="10"/>
  <c r="N265" i="10"/>
  <c r="B265" i="10"/>
  <c r="P259" i="10"/>
  <c r="O259" i="10"/>
  <c r="N259" i="10"/>
  <c r="P258" i="10"/>
  <c r="O258" i="10"/>
  <c r="N258" i="10"/>
  <c r="P257" i="10"/>
  <c r="O257" i="10"/>
  <c r="N257" i="10"/>
  <c r="P256" i="10"/>
  <c r="O256" i="10"/>
  <c r="N256" i="10"/>
  <c r="P255" i="10"/>
  <c r="O255" i="10"/>
  <c r="N255" i="10"/>
  <c r="B255" i="10"/>
  <c r="P249" i="10"/>
  <c r="O249" i="10"/>
  <c r="N249" i="10"/>
  <c r="P248" i="10"/>
  <c r="O248" i="10"/>
  <c r="N248" i="10"/>
  <c r="P247" i="10"/>
  <c r="O247" i="10"/>
  <c r="N247" i="10"/>
  <c r="P246" i="10"/>
  <c r="O246" i="10"/>
  <c r="N246" i="10"/>
  <c r="P245" i="10"/>
  <c r="O245" i="10"/>
  <c r="N245" i="10"/>
  <c r="B245" i="10"/>
  <c r="P239" i="10"/>
  <c r="O239" i="10"/>
  <c r="N239" i="10"/>
  <c r="P238" i="10"/>
  <c r="O238" i="10"/>
  <c r="N238" i="10"/>
  <c r="P237" i="10"/>
  <c r="O237" i="10"/>
  <c r="N237" i="10"/>
  <c r="P236" i="10"/>
  <c r="O236" i="10"/>
  <c r="N236" i="10"/>
  <c r="P235" i="10"/>
  <c r="O235" i="10"/>
  <c r="N235" i="10"/>
  <c r="B235" i="10"/>
  <c r="P229" i="10"/>
  <c r="O229" i="10"/>
  <c r="N229" i="10"/>
  <c r="P228" i="10"/>
  <c r="O228" i="10"/>
  <c r="N228" i="10"/>
  <c r="P227" i="10"/>
  <c r="O227" i="10"/>
  <c r="N227" i="10"/>
  <c r="P226" i="10"/>
  <c r="O226" i="10"/>
  <c r="N226" i="10"/>
  <c r="P225" i="10"/>
  <c r="O225" i="10"/>
  <c r="N225" i="10"/>
  <c r="B225" i="10"/>
  <c r="P219" i="10"/>
  <c r="O219" i="10"/>
  <c r="N219" i="10"/>
  <c r="P218" i="10"/>
  <c r="O218" i="10"/>
  <c r="N218" i="10"/>
  <c r="P217" i="10"/>
  <c r="O217" i="10"/>
  <c r="N217" i="10"/>
  <c r="P216" i="10"/>
  <c r="O216" i="10"/>
  <c r="N216" i="10"/>
  <c r="P215" i="10"/>
  <c r="O215" i="10"/>
  <c r="N215" i="10"/>
  <c r="B215" i="10"/>
  <c r="P209" i="10"/>
  <c r="O209" i="10"/>
  <c r="N209" i="10"/>
  <c r="P208" i="10"/>
  <c r="O208" i="10"/>
  <c r="N208" i="10"/>
  <c r="P207" i="10"/>
  <c r="O207" i="10"/>
  <c r="N207" i="10"/>
  <c r="P206" i="10"/>
  <c r="O206" i="10"/>
  <c r="N206" i="10"/>
  <c r="P205" i="10"/>
  <c r="O205" i="10"/>
  <c r="N205" i="10"/>
  <c r="B205" i="10"/>
  <c r="P199" i="10"/>
  <c r="O199" i="10"/>
  <c r="N199" i="10"/>
  <c r="P198" i="10"/>
  <c r="O198" i="10"/>
  <c r="N198" i="10"/>
  <c r="P197" i="10"/>
  <c r="O197" i="10"/>
  <c r="N197" i="10"/>
  <c r="P196" i="10"/>
  <c r="O196" i="10"/>
  <c r="N196" i="10"/>
  <c r="P195" i="10"/>
  <c r="O195" i="10"/>
  <c r="N195" i="10"/>
  <c r="B195" i="10"/>
  <c r="P189" i="10"/>
  <c r="O189" i="10"/>
  <c r="N189" i="10"/>
  <c r="P188" i="10"/>
  <c r="O188" i="10"/>
  <c r="N188" i="10"/>
  <c r="P187" i="10"/>
  <c r="O187" i="10"/>
  <c r="N187" i="10"/>
  <c r="P186" i="10"/>
  <c r="O186" i="10"/>
  <c r="N186" i="10"/>
  <c r="P185" i="10"/>
  <c r="O185" i="10"/>
  <c r="N185" i="10"/>
  <c r="B185" i="10"/>
  <c r="P179" i="10"/>
  <c r="O179" i="10"/>
  <c r="N179" i="10"/>
  <c r="P178" i="10"/>
  <c r="O178" i="10"/>
  <c r="N178" i="10"/>
  <c r="P177" i="10"/>
  <c r="O177" i="10"/>
  <c r="N177" i="10"/>
  <c r="P176" i="10"/>
  <c r="O176" i="10"/>
  <c r="N176" i="10"/>
  <c r="P175" i="10"/>
  <c r="O175" i="10"/>
  <c r="N175" i="10"/>
  <c r="B175" i="10"/>
  <c r="P169" i="10"/>
  <c r="O169" i="10"/>
  <c r="N169" i="10"/>
  <c r="P168" i="10"/>
  <c r="O168" i="10"/>
  <c r="N168" i="10"/>
  <c r="P167" i="10"/>
  <c r="O167" i="10"/>
  <c r="N167" i="10"/>
  <c r="P166" i="10"/>
  <c r="O166" i="10"/>
  <c r="N166" i="10"/>
  <c r="P165" i="10"/>
  <c r="O165" i="10"/>
  <c r="N165" i="10"/>
  <c r="B165" i="10"/>
  <c r="P159" i="10"/>
  <c r="O159" i="10"/>
  <c r="N159" i="10"/>
  <c r="P158" i="10"/>
  <c r="O158" i="10"/>
  <c r="N158" i="10"/>
  <c r="P157" i="10"/>
  <c r="O157" i="10"/>
  <c r="N157" i="10"/>
  <c r="P156" i="10"/>
  <c r="O156" i="10"/>
  <c r="N156" i="10"/>
  <c r="P155" i="10"/>
  <c r="O155" i="10"/>
  <c r="N155" i="10"/>
  <c r="B155" i="10"/>
  <c r="P149" i="10"/>
  <c r="O149" i="10"/>
  <c r="N149" i="10"/>
  <c r="P148" i="10"/>
  <c r="O148" i="10"/>
  <c r="N148" i="10"/>
  <c r="P147" i="10"/>
  <c r="O147" i="10"/>
  <c r="N147" i="10"/>
  <c r="P146" i="10"/>
  <c r="O146" i="10"/>
  <c r="N146" i="10"/>
  <c r="P145" i="10"/>
  <c r="O145" i="10"/>
  <c r="N145" i="10"/>
  <c r="B145" i="10"/>
  <c r="P139" i="10"/>
  <c r="O139" i="10"/>
  <c r="N139" i="10"/>
  <c r="P138" i="10"/>
  <c r="O138" i="10"/>
  <c r="N138" i="10"/>
  <c r="P137" i="10"/>
  <c r="O137" i="10"/>
  <c r="N137" i="10"/>
  <c r="P136" i="10"/>
  <c r="O136" i="10"/>
  <c r="N136" i="10"/>
  <c r="P135" i="10"/>
  <c r="O135" i="10"/>
  <c r="N135" i="10"/>
  <c r="B135" i="10"/>
  <c r="P129" i="10"/>
  <c r="O129" i="10"/>
  <c r="N129" i="10"/>
  <c r="P128" i="10"/>
  <c r="O128" i="10"/>
  <c r="N128" i="10"/>
  <c r="P127" i="10"/>
  <c r="O127" i="10"/>
  <c r="N127" i="10"/>
  <c r="P126" i="10"/>
  <c r="O126" i="10"/>
  <c r="N126" i="10"/>
  <c r="P125" i="10"/>
  <c r="O125" i="10"/>
  <c r="N125" i="10"/>
  <c r="B125" i="10"/>
  <c r="P119" i="10"/>
  <c r="O119" i="10"/>
  <c r="N119" i="10"/>
  <c r="P118" i="10"/>
  <c r="O118" i="10"/>
  <c r="N118" i="10"/>
  <c r="P117" i="10"/>
  <c r="O117" i="10"/>
  <c r="N117" i="10"/>
  <c r="P116" i="10"/>
  <c r="O116" i="10"/>
  <c r="N116" i="10"/>
  <c r="P115" i="10"/>
  <c r="O115" i="10"/>
  <c r="N115" i="10"/>
  <c r="B115" i="10"/>
  <c r="P109" i="10"/>
  <c r="O109" i="10"/>
  <c r="N109" i="10"/>
  <c r="P108" i="10"/>
  <c r="O108" i="10"/>
  <c r="N108" i="10"/>
  <c r="P107" i="10"/>
  <c r="O107" i="10"/>
  <c r="N107" i="10"/>
  <c r="P106" i="10"/>
  <c r="O106" i="10"/>
  <c r="N106" i="10"/>
  <c r="P105" i="10"/>
  <c r="O105" i="10"/>
  <c r="N105" i="10"/>
  <c r="B105" i="10"/>
  <c r="P99" i="10"/>
  <c r="O99" i="10"/>
  <c r="N99" i="10"/>
  <c r="P98" i="10"/>
  <c r="O98" i="10"/>
  <c r="N98" i="10"/>
  <c r="P97" i="10"/>
  <c r="O97" i="10"/>
  <c r="N97" i="10"/>
  <c r="P96" i="10"/>
  <c r="O96" i="10"/>
  <c r="N96" i="10"/>
  <c r="P95" i="10"/>
  <c r="O95" i="10"/>
  <c r="N95" i="10"/>
  <c r="B95" i="10"/>
  <c r="P89" i="10"/>
  <c r="O89" i="10"/>
  <c r="N89" i="10"/>
  <c r="P88" i="10"/>
  <c r="O88" i="10"/>
  <c r="N88" i="10"/>
  <c r="P87" i="10"/>
  <c r="O87" i="10"/>
  <c r="N87" i="10"/>
  <c r="P86" i="10"/>
  <c r="O86" i="10"/>
  <c r="N86" i="10"/>
  <c r="P85" i="10"/>
  <c r="O85" i="10"/>
  <c r="N85" i="10"/>
  <c r="B85" i="10"/>
  <c r="P79" i="10"/>
  <c r="O79" i="10"/>
  <c r="N79" i="10"/>
  <c r="P78" i="10"/>
  <c r="O78" i="10"/>
  <c r="N78" i="10"/>
  <c r="P77" i="10"/>
  <c r="O77" i="10"/>
  <c r="N77" i="10"/>
  <c r="P76" i="10"/>
  <c r="O76" i="10"/>
  <c r="N76" i="10"/>
  <c r="P75" i="10"/>
  <c r="O75" i="10"/>
  <c r="N75" i="10"/>
  <c r="B75" i="10"/>
  <c r="P69" i="10"/>
  <c r="O69" i="10"/>
  <c r="N69" i="10"/>
  <c r="P68" i="10"/>
  <c r="O68" i="10"/>
  <c r="N68" i="10"/>
  <c r="P67" i="10"/>
  <c r="O67" i="10"/>
  <c r="N67" i="10"/>
  <c r="P66" i="10"/>
  <c r="O66" i="10"/>
  <c r="N66" i="10"/>
  <c r="P65" i="10"/>
  <c r="O65" i="10"/>
  <c r="N65" i="10"/>
  <c r="B65" i="10"/>
  <c r="P59" i="10"/>
  <c r="O59" i="10"/>
  <c r="N59" i="10"/>
  <c r="P58" i="10"/>
  <c r="O58" i="10"/>
  <c r="N58" i="10"/>
  <c r="P57" i="10"/>
  <c r="O57" i="10"/>
  <c r="N57" i="10"/>
  <c r="P56" i="10"/>
  <c r="O56" i="10"/>
  <c r="N56" i="10"/>
  <c r="P55" i="10"/>
  <c r="O55" i="10"/>
  <c r="N55" i="10"/>
  <c r="B55" i="10"/>
  <c r="P49" i="10"/>
  <c r="O49" i="10"/>
  <c r="N49" i="10"/>
  <c r="P48" i="10"/>
  <c r="O48" i="10"/>
  <c r="N48" i="10"/>
  <c r="P47" i="10"/>
  <c r="O47" i="10"/>
  <c r="N47" i="10"/>
  <c r="P46" i="10"/>
  <c r="O46" i="10"/>
  <c r="N46" i="10"/>
  <c r="P45" i="10"/>
  <c r="O45" i="10"/>
  <c r="N45" i="10"/>
  <c r="B45" i="10"/>
  <c r="N280" i="10" l="1"/>
  <c r="O150" i="10"/>
  <c r="O160" i="10"/>
  <c r="O170" i="10"/>
  <c r="P70" i="10"/>
  <c r="P80" i="10"/>
  <c r="P260" i="10"/>
  <c r="P280" i="10"/>
  <c r="P60" i="10"/>
  <c r="N130" i="10"/>
  <c r="N250" i="10"/>
  <c r="O140" i="10"/>
  <c r="N230" i="10"/>
  <c r="P270" i="10"/>
  <c r="P150" i="10"/>
  <c r="O100" i="10"/>
  <c r="N170" i="10"/>
  <c r="O180" i="10"/>
  <c r="O260" i="10"/>
  <c r="P190" i="10"/>
  <c r="O280" i="10"/>
  <c r="N190" i="10"/>
  <c r="O270" i="10"/>
  <c r="O200" i="10"/>
  <c r="P210" i="10"/>
  <c r="N160" i="10"/>
  <c r="N180" i="10"/>
  <c r="P140" i="10"/>
  <c r="P180" i="10"/>
  <c r="O190" i="10"/>
  <c r="N200" i="10"/>
  <c r="N210" i="10"/>
  <c r="N220" i="10"/>
  <c r="P160" i="10"/>
  <c r="P250" i="10"/>
  <c r="N270" i="10"/>
  <c r="N60" i="10"/>
  <c r="N70" i="10"/>
  <c r="N80" i="10"/>
  <c r="N90" i="10"/>
  <c r="N100" i="10"/>
  <c r="O210" i="10"/>
  <c r="O220" i="10"/>
  <c r="O240" i="10"/>
  <c r="O60" i="10"/>
  <c r="O70" i="10"/>
  <c r="O80" i="10"/>
  <c r="O90" i="10"/>
  <c r="N110" i="10"/>
  <c r="N120" i="10"/>
  <c r="P170" i="10"/>
  <c r="P200" i="10"/>
  <c r="P220" i="10"/>
  <c r="O230" i="10"/>
  <c r="N240" i="10"/>
  <c r="P90" i="10"/>
  <c r="P100" i="10"/>
  <c r="O110" i="10"/>
  <c r="O120" i="10"/>
  <c r="O130" i="10"/>
  <c r="N140" i="10"/>
  <c r="P230" i="10"/>
  <c r="O250" i="10"/>
  <c r="N260" i="10"/>
  <c r="P110" i="10"/>
  <c r="P120" i="10"/>
  <c r="P130" i="10"/>
  <c r="N150" i="10"/>
  <c r="P240" i="10"/>
  <c r="P50" i="10"/>
  <c r="N50" i="10"/>
  <c r="O50" i="10"/>
  <c r="A1048576" i="10" l="1"/>
  <c r="P39" i="10"/>
  <c r="O39" i="10"/>
  <c r="N39" i="10"/>
  <c r="P38" i="10"/>
  <c r="O38" i="10"/>
  <c r="N38" i="10"/>
  <c r="P37" i="10"/>
  <c r="O37" i="10"/>
  <c r="N37" i="10"/>
  <c r="P36" i="10"/>
  <c r="O36" i="10"/>
  <c r="N36" i="10"/>
  <c r="P35" i="10"/>
  <c r="O35" i="10"/>
  <c r="N35" i="10"/>
  <c r="B35" i="10"/>
  <c r="P29" i="10"/>
  <c r="O29" i="10"/>
  <c r="N29" i="10"/>
  <c r="P28" i="10"/>
  <c r="O28" i="10"/>
  <c r="N28" i="10"/>
  <c r="P27" i="10"/>
  <c r="O27" i="10"/>
  <c r="N27" i="10"/>
  <c r="P26" i="10"/>
  <c r="O26" i="10"/>
  <c r="N26" i="10"/>
  <c r="P25" i="10"/>
  <c r="O25" i="10"/>
  <c r="N25" i="10"/>
  <c r="B25" i="10"/>
  <c r="P19" i="10"/>
  <c r="O19" i="10"/>
  <c r="N19" i="10"/>
  <c r="P18" i="10"/>
  <c r="O18" i="10"/>
  <c r="N18" i="10"/>
  <c r="P17" i="10"/>
  <c r="O17" i="10"/>
  <c r="N17" i="10"/>
  <c r="P16" i="10"/>
  <c r="O16" i="10"/>
  <c r="N16" i="10"/>
  <c r="P15" i="10"/>
  <c r="O15" i="10"/>
  <c r="B15" i="10"/>
  <c r="P9" i="10"/>
  <c r="O9" i="10"/>
  <c r="N9" i="10"/>
  <c r="P8" i="10"/>
  <c r="O8" i="10"/>
  <c r="N8" i="10"/>
  <c r="P7" i="10"/>
  <c r="O7" i="10"/>
  <c r="N7" i="10"/>
  <c r="P6" i="10"/>
  <c r="O6" i="10"/>
  <c r="N6" i="10"/>
  <c r="P5" i="10"/>
  <c r="O5" i="10"/>
  <c r="N5" i="10"/>
  <c r="B5" i="10"/>
  <c r="N10" i="10" l="1"/>
  <c r="N40" i="10"/>
  <c r="O20" i="10"/>
  <c r="O30" i="10"/>
  <c r="O40" i="10"/>
  <c r="P30" i="10"/>
  <c r="P10" i="10"/>
  <c r="P40" i="10"/>
  <c r="O10" i="10"/>
  <c r="N20" i="10"/>
  <c r="P20" i="10"/>
  <c r="N30" i="10"/>
  <c r="N24" i="1" l="1"/>
  <c r="M24" i="1"/>
  <c r="L24" i="1"/>
  <c r="K24" i="1"/>
  <c r="J24" i="1"/>
  <c r="I24" i="1"/>
  <c r="N25" i="1"/>
  <c r="M25" i="1"/>
  <c r="L25" i="1"/>
  <c r="K25" i="1"/>
  <c r="J25" i="1"/>
  <c r="I25" i="1"/>
  <c r="N23" i="1"/>
  <c r="M23" i="1"/>
  <c r="L23" i="1"/>
  <c r="K23" i="1"/>
  <c r="J23" i="1"/>
  <c r="I23" i="1"/>
  <c r="L22" i="1"/>
  <c r="J22" i="1"/>
  <c r="K22" i="1" s="1"/>
  <c r="I22" i="1"/>
  <c r="L21" i="1"/>
  <c r="J21" i="1"/>
  <c r="K21" i="1" s="1"/>
  <c r="I21" i="1"/>
  <c r="L20" i="1"/>
  <c r="J20" i="1"/>
  <c r="K20" i="1" s="1"/>
  <c r="I20" i="1"/>
  <c r="L19" i="1"/>
  <c r="K19" i="1"/>
  <c r="J19" i="1"/>
  <c r="I19" i="1"/>
  <c r="L17" i="1"/>
  <c r="J17" i="1"/>
  <c r="K17" i="1" s="1"/>
  <c r="I17" i="1"/>
  <c r="L18" i="1"/>
  <c r="J18" i="1"/>
  <c r="K18" i="1" s="1"/>
  <c r="I18" i="1"/>
  <c r="L16" i="1"/>
  <c r="J16" i="1"/>
  <c r="K16" i="1" s="1"/>
  <c r="I16" i="1"/>
  <c r="L15" i="1"/>
  <c r="J15" i="1"/>
  <c r="K15" i="1" s="1"/>
  <c r="I15" i="1"/>
  <c r="L14" i="1"/>
  <c r="D75" i="14" s="1"/>
  <c r="J14" i="1"/>
  <c r="K14" i="1" s="1"/>
  <c r="I14" i="1"/>
  <c r="L13" i="1"/>
  <c r="J13" i="1"/>
  <c r="K13" i="1" s="1"/>
  <c r="I13" i="1"/>
  <c r="L12" i="1"/>
  <c r="J12" i="1"/>
  <c r="K12" i="1" s="1"/>
  <c r="I12" i="1"/>
  <c r="L11" i="1"/>
  <c r="J11" i="1"/>
  <c r="K11" i="1" s="1"/>
  <c r="I11" i="1"/>
  <c r="L10" i="1"/>
  <c r="J10" i="1"/>
  <c r="K10" i="1" s="1"/>
  <c r="I10" i="1"/>
  <c r="L9" i="1"/>
  <c r="J9" i="1"/>
  <c r="K9" i="1" s="1"/>
  <c r="I9" i="1"/>
  <c r="L8" i="1"/>
  <c r="J8" i="1"/>
  <c r="K8" i="1" s="1"/>
  <c r="I8" i="1"/>
  <c r="L7" i="1"/>
  <c r="J7" i="1"/>
  <c r="K7" i="1" s="1"/>
  <c r="I7" i="1"/>
  <c r="L6" i="1"/>
  <c r="J6" i="1"/>
  <c r="K6" i="1" s="1"/>
  <c r="I6" i="1"/>
  <c r="L5" i="1"/>
  <c r="J5" i="1"/>
  <c r="K5" i="1" s="1"/>
  <c r="I5" i="1"/>
  <c r="L4" i="1"/>
  <c r="J4" i="1"/>
  <c r="K4" i="1" s="1"/>
  <c r="I4" i="1"/>
  <c r="L3" i="1"/>
  <c r="J3" i="1"/>
  <c r="K3" i="1" s="1"/>
  <c r="I3" i="1"/>
  <c r="C25" i="10" l="1"/>
  <c r="B71" i="11" s="1"/>
  <c r="F71" i="11" s="1"/>
  <c r="C175" i="14"/>
  <c r="C165" i="14"/>
  <c r="C195" i="14"/>
  <c r="C155" i="14"/>
  <c r="C205" i="14"/>
  <c r="C185" i="14"/>
  <c r="C145" i="14"/>
  <c r="D275" i="14"/>
  <c r="D265" i="14"/>
  <c r="D235" i="14"/>
  <c r="D225" i="14"/>
  <c r="D245" i="14"/>
  <c r="D215" i="14"/>
  <c r="D255" i="14"/>
  <c r="D195" i="14"/>
  <c r="D155" i="14"/>
  <c r="D165" i="14"/>
  <c r="D205" i="14"/>
  <c r="D145" i="14"/>
  <c r="D175" i="14"/>
  <c r="D185" i="14"/>
  <c r="C185" i="15"/>
  <c r="C55" i="15"/>
  <c r="C15" i="15"/>
  <c r="C45" i="15"/>
  <c r="C175" i="15"/>
  <c r="C35" i="15"/>
  <c r="C65" i="15"/>
  <c r="C195" i="15"/>
  <c r="C25" i="15"/>
  <c r="C5" i="15"/>
  <c r="C295" i="14"/>
  <c r="C285" i="14"/>
  <c r="D185" i="15"/>
  <c r="D195" i="15"/>
  <c r="D175" i="15"/>
  <c r="D65" i="15"/>
  <c r="D45" i="15"/>
  <c r="D55" i="15"/>
  <c r="D35" i="15"/>
  <c r="D15" i="15"/>
  <c r="D25" i="15"/>
  <c r="C165" i="15"/>
  <c r="C155" i="15"/>
  <c r="C145" i="15"/>
  <c r="D145" i="15"/>
  <c r="D155" i="15"/>
  <c r="D165" i="15"/>
  <c r="C135" i="14"/>
  <c r="C105" i="14"/>
  <c r="C95" i="14"/>
  <c r="C85" i="14"/>
  <c r="C115" i="14"/>
  <c r="C125" i="14"/>
  <c r="C125" i="15"/>
  <c r="C135" i="15"/>
  <c r="C105" i="15"/>
  <c r="C95" i="15"/>
  <c r="C85" i="15"/>
  <c r="C115" i="15"/>
  <c r="C75" i="15"/>
  <c r="D5" i="15"/>
  <c r="D285" i="14"/>
  <c r="D295" i="14"/>
  <c r="D135" i="14"/>
  <c r="D105" i="14"/>
  <c r="D85" i="14"/>
  <c r="D95" i="14"/>
  <c r="D115" i="14"/>
  <c r="D125" i="14"/>
  <c r="C275" i="14"/>
  <c r="C245" i="14"/>
  <c r="C235" i="14"/>
  <c r="C225" i="14"/>
  <c r="C255" i="14"/>
  <c r="C265" i="14"/>
  <c r="C215" i="14"/>
  <c r="D105" i="15"/>
  <c r="D125" i="15"/>
  <c r="D95" i="15"/>
  <c r="D135" i="15"/>
  <c r="D75" i="15"/>
  <c r="D85" i="15"/>
  <c r="D115" i="15"/>
  <c r="M22" i="1"/>
  <c r="M21" i="1"/>
  <c r="N21" i="1" s="1"/>
  <c r="M20" i="1"/>
  <c r="M19" i="1"/>
  <c r="M18" i="1"/>
  <c r="M17" i="1"/>
  <c r="M16" i="1"/>
  <c r="C35" i="10"/>
  <c r="B72" i="11" s="1"/>
  <c r="F72" i="11" s="1"/>
  <c r="M14" i="1"/>
  <c r="C75" i="14"/>
  <c r="M7" i="1"/>
  <c r="N7" i="1" s="1"/>
  <c r="D55" i="14"/>
  <c r="D45" i="14"/>
  <c r="D15" i="14"/>
  <c r="D5" i="14"/>
  <c r="D65" i="14"/>
  <c r="D35" i="14"/>
  <c r="D25" i="14"/>
  <c r="C145" i="12"/>
  <c r="C135" i="12"/>
  <c r="C165" i="12"/>
  <c r="C155" i="12"/>
  <c r="C105" i="12"/>
  <c r="C125" i="12"/>
  <c r="C115" i="12"/>
  <c r="C25" i="12"/>
  <c r="C15" i="12"/>
  <c r="C5" i="12"/>
  <c r="C275" i="10"/>
  <c r="B96" i="11" s="1"/>
  <c r="F96" i="11" s="1"/>
  <c r="C245" i="10"/>
  <c r="B93" i="11" s="1"/>
  <c r="F93" i="11" s="1"/>
  <c r="C255" i="10"/>
  <c r="B94" i="11" s="1"/>
  <c r="F94" i="11" s="1"/>
  <c r="C265" i="10"/>
  <c r="B95" i="11" s="1"/>
  <c r="F95" i="11" s="1"/>
  <c r="C15" i="10"/>
  <c r="B70" i="11" s="1"/>
  <c r="F70" i="11" s="1"/>
  <c r="C145" i="10"/>
  <c r="B83" i="11" s="1"/>
  <c r="F83" i="11" s="1"/>
  <c r="C165" i="10"/>
  <c r="B85" i="11" s="1"/>
  <c r="F85" i="11" s="1"/>
  <c r="C115" i="10"/>
  <c r="B80" i="11" s="1"/>
  <c r="F80" i="11" s="1"/>
  <c r="C155" i="10"/>
  <c r="B84" i="11" s="1"/>
  <c r="F84" i="11" s="1"/>
  <c r="C125" i="10"/>
  <c r="B81" i="11" s="1"/>
  <c r="F81" i="11" s="1"/>
  <c r="C135" i="10"/>
  <c r="B82" i="11" s="1"/>
  <c r="F82" i="11" s="1"/>
  <c r="C105" i="10"/>
  <c r="B79" i="11" s="1"/>
  <c r="F79" i="11" s="1"/>
  <c r="C25" i="14"/>
  <c r="C15" i="14"/>
  <c r="C5" i="14"/>
  <c r="C65" i="14"/>
  <c r="C45" i="14"/>
  <c r="C35" i="14"/>
  <c r="C55" i="14"/>
  <c r="C235" i="12"/>
  <c r="C225" i="12"/>
  <c r="C215" i="12"/>
  <c r="C195" i="12"/>
  <c r="C185" i="12"/>
  <c r="C205" i="12"/>
  <c r="C175" i="12"/>
  <c r="C95" i="12"/>
  <c r="C85" i="12"/>
  <c r="C55" i="12"/>
  <c r="C45" i="12"/>
  <c r="C75" i="12"/>
  <c r="C65" i="12"/>
  <c r="C35" i="12"/>
  <c r="C5" i="10"/>
  <c r="B69" i="11" s="1"/>
  <c r="F69" i="11" s="1"/>
  <c r="C75" i="10"/>
  <c r="B76" i="11" s="1"/>
  <c r="F76" i="11" s="1"/>
  <c r="C55" i="10"/>
  <c r="B74" i="11" s="1"/>
  <c r="F74" i="11" s="1"/>
  <c r="C85" i="10"/>
  <c r="B77" i="11" s="1"/>
  <c r="F77" i="11" s="1"/>
  <c r="C95" i="10"/>
  <c r="B78" i="11" s="1"/>
  <c r="F78" i="11" s="1"/>
  <c r="C45" i="10"/>
  <c r="B73" i="11" s="1"/>
  <c r="F73" i="11" s="1"/>
  <c r="C65" i="10"/>
  <c r="B75" i="11" s="1"/>
  <c r="F75" i="11" s="1"/>
  <c r="C235" i="10"/>
  <c r="B92" i="11" s="1"/>
  <c r="F92" i="11" s="1"/>
  <c r="C185" i="10"/>
  <c r="B87" i="11" s="1"/>
  <c r="F87" i="11" s="1"/>
  <c r="C215" i="10"/>
  <c r="B90" i="11" s="1"/>
  <c r="F90" i="11" s="1"/>
  <c r="C175" i="10"/>
  <c r="B86" i="11" s="1"/>
  <c r="F86" i="11" s="1"/>
  <c r="C195" i="10"/>
  <c r="B88" i="11" s="1"/>
  <c r="F88" i="11" s="1"/>
  <c r="C225" i="10"/>
  <c r="B91" i="11" s="1"/>
  <c r="F91" i="11" s="1"/>
  <c r="C205" i="10"/>
  <c r="B89" i="11" s="1"/>
  <c r="F89" i="11" s="1"/>
  <c r="C285" i="12"/>
  <c r="C295" i="12"/>
  <c r="C265" i="12"/>
  <c r="C305" i="12"/>
  <c r="C255" i="12"/>
  <c r="C275" i="12"/>
  <c r="C245" i="12"/>
  <c r="M15" i="1"/>
  <c r="N14" i="1"/>
  <c r="M13" i="1"/>
  <c r="M12" i="1"/>
  <c r="M11" i="1"/>
  <c r="N11" i="1" s="1"/>
  <c r="M10" i="1"/>
  <c r="N10" i="1" s="1"/>
  <c r="M9" i="1"/>
  <c r="M8" i="1"/>
  <c r="M6" i="1"/>
  <c r="N6" i="1" s="1"/>
  <c r="M3" i="1"/>
  <c r="N3" i="1" s="1"/>
  <c r="M5" i="1"/>
  <c r="M4" i="1"/>
  <c r="N4" i="1" s="1"/>
  <c r="A1048576" i="9"/>
  <c r="P179" i="9"/>
  <c r="O179" i="9"/>
  <c r="N179" i="9"/>
  <c r="P178" i="9"/>
  <c r="O178" i="9"/>
  <c r="N178" i="9"/>
  <c r="P177" i="9"/>
  <c r="O177" i="9"/>
  <c r="N177" i="9"/>
  <c r="P176" i="9"/>
  <c r="O176" i="9"/>
  <c r="N176" i="9"/>
  <c r="P175" i="9"/>
  <c r="O175" i="9"/>
  <c r="N175" i="9"/>
  <c r="B175" i="9"/>
  <c r="P169" i="9"/>
  <c r="O169" i="9"/>
  <c r="N169" i="9"/>
  <c r="P168" i="9"/>
  <c r="O168" i="9"/>
  <c r="N168" i="9"/>
  <c r="P167" i="9"/>
  <c r="O167" i="9"/>
  <c r="N167" i="9"/>
  <c r="P166" i="9"/>
  <c r="O166" i="9"/>
  <c r="N166" i="9"/>
  <c r="P165" i="9"/>
  <c r="O165" i="9"/>
  <c r="N165" i="9"/>
  <c r="B165" i="9"/>
  <c r="P159" i="9"/>
  <c r="O159" i="9"/>
  <c r="N159" i="9"/>
  <c r="P158" i="9"/>
  <c r="O158" i="9"/>
  <c r="N158" i="9"/>
  <c r="P157" i="9"/>
  <c r="O157" i="9"/>
  <c r="N157" i="9"/>
  <c r="P156" i="9"/>
  <c r="O156" i="9"/>
  <c r="N156" i="9"/>
  <c r="P155" i="9"/>
  <c r="O155" i="9"/>
  <c r="N155" i="9"/>
  <c r="B155" i="9"/>
  <c r="P149" i="9"/>
  <c r="O149" i="9"/>
  <c r="N149" i="9"/>
  <c r="P148" i="9"/>
  <c r="O148" i="9"/>
  <c r="N148" i="9"/>
  <c r="P147" i="9"/>
  <c r="O147" i="9"/>
  <c r="N147" i="9"/>
  <c r="P146" i="9"/>
  <c r="O146" i="9"/>
  <c r="N146" i="9"/>
  <c r="P145" i="9"/>
  <c r="O145" i="9"/>
  <c r="N145" i="9"/>
  <c r="B145" i="9"/>
  <c r="P139" i="9"/>
  <c r="O139" i="9"/>
  <c r="N139" i="9"/>
  <c r="P138" i="9"/>
  <c r="O138" i="9"/>
  <c r="N138" i="9"/>
  <c r="P137" i="9"/>
  <c r="O137" i="9"/>
  <c r="N137" i="9"/>
  <c r="P136" i="9"/>
  <c r="O136" i="9"/>
  <c r="N136" i="9"/>
  <c r="P135" i="9"/>
  <c r="O135" i="9"/>
  <c r="N135" i="9"/>
  <c r="B135" i="9"/>
  <c r="P129" i="9"/>
  <c r="O129" i="9"/>
  <c r="N129" i="9"/>
  <c r="P128" i="9"/>
  <c r="O128" i="9"/>
  <c r="N128" i="9"/>
  <c r="P127" i="9"/>
  <c r="O127" i="9"/>
  <c r="N127" i="9"/>
  <c r="P126" i="9"/>
  <c r="O126" i="9"/>
  <c r="N126" i="9"/>
  <c r="P125" i="9"/>
  <c r="O125" i="9"/>
  <c r="N125" i="9"/>
  <c r="B125" i="9"/>
  <c r="P119" i="9"/>
  <c r="O119" i="9"/>
  <c r="N119" i="9"/>
  <c r="P118" i="9"/>
  <c r="O118" i="9"/>
  <c r="N118" i="9"/>
  <c r="P117" i="9"/>
  <c r="O117" i="9"/>
  <c r="N117" i="9"/>
  <c r="P116" i="9"/>
  <c r="O116" i="9"/>
  <c r="N116" i="9"/>
  <c r="P115" i="9"/>
  <c r="O115" i="9"/>
  <c r="N115" i="9"/>
  <c r="B115" i="9"/>
  <c r="P109" i="9"/>
  <c r="O109" i="9"/>
  <c r="N109" i="9"/>
  <c r="P108" i="9"/>
  <c r="O108" i="9"/>
  <c r="N108" i="9"/>
  <c r="P107" i="9"/>
  <c r="O107" i="9"/>
  <c r="N107" i="9"/>
  <c r="P106" i="9"/>
  <c r="O106" i="9"/>
  <c r="N106" i="9"/>
  <c r="P105" i="9"/>
  <c r="O105" i="9"/>
  <c r="N105" i="9"/>
  <c r="B105" i="9"/>
  <c r="P99" i="9"/>
  <c r="O99" i="9"/>
  <c r="N99" i="9"/>
  <c r="P98" i="9"/>
  <c r="O98" i="9"/>
  <c r="N98" i="9"/>
  <c r="P97" i="9"/>
  <c r="O97" i="9"/>
  <c r="N97" i="9"/>
  <c r="P96" i="9"/>
  <c r="O96" i="9"/>
  <c r="N96" i="9"/>
  <c r="P95" i="9"/>
  <c r="O95" i="9"/>
  <c r="N95" i="9"/>
  <c r="B95" i="9"/>
  <c r="P89" i="9"/>
  <c r="O89" i="9"/>
  <c r="N89" i="9"/>
  <c r="P88" i="9"/>
  <c r="O88" i="9"/>
  <c r="N88" i="9"/>
  <c r="P87" i="9"/>
  <c r="O87" i="9"/>
  <c r="N87" i="9"/>
  <c r="P86" i="9"/>
  <c r="O86" i="9"/>
  <c r="N86" i="9"/>
  <c r="P85" i="9"/>
  <c r="O85" i="9"/>
  <c r="N85" i="9"/>
  <c r="B85" i="9"/>
  <c r="P79" i="9"/>
  <c r="O79" i="9"/>
  <c r="N79" i="9"/>
  <c r="P78" i="9"/>
  <c r="O78" i="9"/>
  <c r="N78" i="9"/>
  <c r="P77" i="9"/>
  <c r="O77" i="9"/>
  <c r="N77" i="9"/>
  <c r="P76" i="9"/>
  <c r="O76" i="9"/>
  <c r="N76" i="9"/>
  <c r="P75" i="9"/>
  <c r="O75" i="9"/>
  <c r="N75" i="9"/>
  <c r="B75" i="9"/>
  <c r="P69" i="9"/>
  <c r="O69" i="9"/>
  <c r="N69" i="9"/>
  <c r="P68" i="9"/>
  <c r="O68" i="9"/>
  <c r="N68" i="9"/>
  <c r="P67" i="9"/>
  <c r="O67" i="9"/>
  <c r="N67" i="9"/>
  <c r="P66" i="9"/>
  <c r="O66" i="9"/>
  <c r="N66" i="9"/>
  <c r="P65" i="9"/>
  <c r="O65" i="9"/>
  <c r="N65" i="9"/>
  <c r="B65" i="9"/>
  <c r="P59" i="9"/>
  <c r="O59" i="9"/>
  <c r="N59" i="9"/>
  <c r="P58" i="9"/>
  <c r="O58" i="9"/>
  <c r="N58" i="9"/>
  <c r="P57" i="9"/>
  <c r="O57" i="9"/>
  <c r="N57" i="9"/>
  <c r="P56" i="9"/>
  <c r="O56" i="9"/>
  <c r="N56" i="9"/>
  <c r="P55" i="9"/>
  <c r="O55" i="9"/>
  <c r="N55" i="9"/>
  <c r="B55" i="9"/>
  <c r="P49" i="9"/>
  <c r="O49" i="9"/>
  <c r="N49" i="9"/>
  <c r="P48" i="9"/>
  <c r="O48" i="9"/>
  <c r="N48" i="9"/>
  <c r="P47" i="9"/>
  <c r="O47" i="9"/>
  <c r="N47" i="9"/>
  <c r="P46" i="9"/>
  <c r="O46" i="9"/>
  <c r="N46" i="9"/>
  <c r="P45" i="9"/>
  <c r="O45" i="9"/>
  <c r="N45" i="9"/>
  <c r="B45" i="9"/>
  <c r="P39" i="9"/>
  <c r="O39" i="9"/>
  <c r="N39" i="9"/>
  <c r="P38" i="9"/>
  <c r="O38" i="9"/>
  <c r="N38" i="9"/>
  <c r="P37" i="9"/>
  <c r="O37" i="9"/>
  <c r="N37" i="9"/>
  <c r="P36" i="9"/>
  <c r="O36" i="9"/>
  <c r="N36" i="9"/>
  <c r="P35" i="9"/>
  <c r="O35" i="9"/>
  <c r="N35" i="9"/>
  <c r="B35" i="9"/>
  <c r="P29" i="9"/>
  <c r="O29" i="9"/>
  <c r="N29" i="9"/>
  <c r="P28" i="9"/>
  <c r="O28" i="9"/>
  <c r="N28" i="9"/>
  <c r="P27" i="9"/>
  <c r="O27" i="9"/>
  <c r="N27" i="9"/>
  <c r="P26" i="9"/>
  <c r="O26" i="9"/>
  <c r="N26" i="9"/>
  <c r="P25" i="9"/>
  <c r="O25" i="9"/>
  <c r="N25" i="9"/>
  <c r="B25" i="9"/>
  <c r="P19" i="9"/>
  <c r="O19" i="9"/>
  <c r="N19" i="9"/>
  <c r="P18" i="9"/>
  <c r="O18" i="9"/>
  <c r="N18" i="9"/>
  <c r="P17" i="9"/>
  <c r="O17" i="9"/>
  <c r="N17" i="9"/>
  <c r="P16" i="9"/>
  <c r="O16" i="9"/>
  <c r="N16" i="9"/>
  <c r="P15" i="9"/>
  <c r="O15" i="9"/>
  <c r="N15" i="9"/>
  <c r="B15" i="9"/>
  <c r="P9" i="9"/>
  <c r="O9" i="9"/>
  <c r="N9" i="9"/>
  <c r="P8" i="9"/>
  <c r="O8" i="9"/>
  <c r="N8" i="9"/>
  <c r="P7" i="9"/>
  <c r="O7" i="9"/>
  <c r="N7" i="9"/>
  <c r="P6" i="9"/>
  <c r="O6" i="9"/>
  <c r="N6" i="9"/>
  <c r="P5" i="9"/>
  <c r="O5" i="9"/>
  <c r="N5" i="9"/>
  <c r="B5" i="9"/>
  <c r="P39" i="4"/>
  <c r="O39" i="4"/>
  <c r="N39" i="4"/>
  <c r="P38" i="4"/>
  <c r="O38" i="4"/>
  <c r="N38" i="4"/>
  <c r="P37" i="4"/>
  <c r="O37" i="4"/>
  <c r="N37" i="4"/>
  <c r="P36" i="4"/>
  <c r="O36" i="4"/>
  <c r="N36" i="4"/>
  <c r="P35" i="4"/>
  <c r="O35" i="4"/>
  <c r="N35" i="4"/>
  <c r="B35" i="4"/>
  <c r="P29" i="4"/>
  <c r="O29" i="4"/>
  <c r="N29" i="4"/>
  <c r="P28" i="4"/>
  <c r="O28" i="4"/>
  <c r="N28" i="4"/>
  <c r="P27" i="4"/>
  <c r="O27" i="4"/>
  <c r="N27" i="4"/>
  <c r="P26" i="4"/>
  <c r="O26" i="4"/>
  <c r="N26" i="4"/>
  <c r="P25" i="4"/>
  <c r="O25" i="4"/>
  <c r="N25" i="4"/>
  <c r="B25" i="4"/>
  <c r="P19" i="4"/>
  <c r="O19" i="4"/>
  <c r="N19" i="4"/>
  <c r="P18" i="4"/>
  <c r="O18" i="4"/>
  <c r="N18" i="4"/>
  <c r="P17" i="4"/>
  <c r="O17" i="4"/>
  <c r="N17" i="4"/>
  <c r="P16" i="4"/>
  <c r="O16" i="4"/>
  <c r="N16" i="4"/>
  <c r="P15" i="4"/>
  <c r="O15" i="4"/>
  <c r="N15" i="4"/>
  <c r="B15" i="4"/>
  <c r="P8" i="4"/>
  <c r="O8" i="4"/>
  <c r="N8" i="4"/>
  <c r="P7" i="4"/>
  <c r="O7" i="4"/>
  <c r="N7" i="4"/>
  <c r="P6" i="4"/>
  <c r="O6" i="4"/>
  <c r="N6" i="4"/>
  <c r="N5" i="4"/>
  <c r="P5" i="4"/>
  <c r="O5" i="4"/>
  <c r="P9" i="4"/>
  <c r="O9" i="4"/>
  <c r="N9" i="4"/>
  <c r="B5" i="4"/>
  <c r="A1048576" i="4"/>
  <c r="C1048576" i="15" l="1"/>
  <c r="N15" i="1"/>
  <c r="E135" i="14"/>
  <c r="E105" i="14"/>
  <c r="E125" i="14"/>
  <c r="E115" i="14"/>
  <c r="E85" i="14"/>
  <c r="E95" i="14"/>
  <c r="E75" i="14"/>
  <c r="N22" i="1"/>
  <c r="E155" i="15"/>
  <c r="E145" i="15"/>
  <c r="E165" i="15"/>
  <c r="N16" i="1"/>
  <c r="E155" i="14"/>
  <c r="E175" i="14"/>
  <c r="E185" i="14"/>
  <c r="E165" i="14"/>
  <c r="E195" i="14"/>
  <c r="E205" i="14"/>
  <c r="E145" i="14"/>
  <c r="N17" i="1"/>
  <c r="E275" i="14"/>
  <c r="E215" i="14"/>
  <c r="E255" i="14"/>
  <c r="E245" i="14"/>
  <c r="E235" i="14"/>
  <c r="E225" i="14"/>
  <c r="E265" i="14"/>
  <c r="N20" i="1"/>
  <c r="E85" i="15"/>
  <c r="E135" i="15"/>
  <c r="E75" i="15"/>
  <c r="E125" i="15"/>
  <c r="E105" i="15"/>
  <c r="E95" i="15"/>
  <c r="E115" i="15"/>
  <c r="N18" i="1"/>
  <c r="E5" i="15"/>
  <c r="E285" i="14"/>
  <c r="E295" i="14"/>
  <c r="N19" i="1"/>
  <c r="E175" i="15"/>
  <c r="E185" i="15"/>
  <c r="E195" i="15"/>
  <c r="E45" i="15"/>
  <c r="E15" i="15"/>
  <c r="E25" i="15"/>
  <c r="E35" i="15"/>
  <c r="E55" i="15"/>
  <c r="E65" i="15"/>
  <c r="C1048576" i="10"/>
  <c r="F165" i="10"/>
  <c r="E85" i="11" s="1"/>
  <c r="I85" i="11" s="1"/>
  <c r="F145" i="10"/>
  <c r="E83" i="11" s="1"/>
  <c r="I83" i="11" s="1"/>
  <c r="F135" i="10"/>
  <c r="E82" i="11" s="1"/>
  <c r="I82" i="11" s="1"/>
  <c r="F115" i="10"/>
  <c r="E80" i="11" s="1"/>
  <c r="I80" i="11" s="1"/>
  <c r="F125" i="10"/>
  <c r="E81" i="11" s="1"/>
  <c r="I81" i="11" s="1"/>
  <c r="F155" i="10"/>
  <c r="E84" i="11" s="1"/>
  <c r="I84" i="11" s="1"/>
  <c r="F105" i="10"/>
  <c r="E79" i="11" s="1"/>
  <c r="I79" i="11" s="1"/>
  <c r="F45" i="10"/>
  <c r="E73" i="11" s="1"/>
  <c r="I73" i="11" s="1"/>
  <c r="F65" i="10"/>
  <c r="E75" i="11" s="1"/>
  <c r="I75" i="11" s="1"/>
  <c r="F75" i="10"/>
  <c r="E76" i="11" s="1"/>
  <c r="I76" i="11" s="1"/>
  <c r="F85" i="10"/>
  <c r="E77" i="11" s="1"/>
  <c r="I77" i="11" s="1"/>
  <c r="F95" i="10"/>
  <c r="E78" i="11" s="1"/>
  <c r="I78" i="11" s="1"/>
  <c r="F55" i="10"/>
  <c r="E74" i="11" s="1"/>
  <c r="I74" i="11" s="1"/>
  <c r="F35" i="10"/>
  <c r="E72" i="11" s="1"/>
  <c r="I72" i="11" s="1"/>
  <c r="F55" i="14"/>
  <c r="F5" i="14"/>
  <c r="F35" i="14"/>
  <c r="F25" i="14"/>
  <c r="F75" i="14"/>
  <c r="F65" i="14"/>
  <c r="F15" i="14"/>
  <c r="F45" i="14"/>
  <c r="F95" i="12"/>
  <c r="F85" i="12"/>
  <c r="F65" i="12"/>
  <c r="F75" i="12"/>
  <c r="F55" i="12"/>
  <c r="F45" i="12"/>
  <c r="F35" i="12"/>
  <c r="F145" i="12"/>
  <c r="F135" i="12"/>
  <c r="F155" i="12"/>
  <c r="F165" i="12"/>
  <c r="F105" i="12"/>
  <c r="F125" i="12"/>
  <c r="F115" i="12"/>
  <c r="E45" i="10"/>
  <c r="D73" i="11" s="1"/>
  <c r="H73" i="11" s="1"/>
  <c r="E55" i="10"/>
  <c r="D74" i="11" s="1"/>
  <c r="H74" i="11" s="1"/>
  <c r="E95" i="10"/>
  <c r="D78" i="11" s="1"/>
  <c r="H78" i="11" s="1"/>
  <c r="E75" i="10"/>
  <c r="D76" i="11" s="1"/>
  <c r="H76" i="11" s="1"/>
  <c r="E65" i="10"/>
  <c r="D75" i="11" s="1"/>
  <c r="H75" i="11" s="1"/>
  <c r="E85" i="10"/>
  <c r="D77" i="11" s="1"/>
  <c r="H77" i="11" s="1"/>
  <c r="E35" i="10"/>
  <c r="D72" i="11" s="1"/>
  <c r="H72" i="11" s="1"/>
  <c r="E85" i="12"/>
  <c r="E95" i="12"/>
  <c r="E55" i="12"/>
  <c r="E75" i="12"/>
  <c r="E45" i="12"/>
  <c r="E65" i="12"/>
  <c r="E35" i="12"/>
  <c r="L102" i="11"/>
  <c r="L100" i="11"/>
  <c r="L101" i="11"/>
  <c r="L99" i="11"/>
  <c r="E35" i="14"/>
  <c r="E45" i="14"/>
  <c r="E25" i="14"/>
  <c r="E15" i="14"/>
  <c r="E65" i="14"/>
  <c r="E55" i="14"/>
  <c r="E5" i="14"/>
  <c r="D165" i="12"/>
  <c r="D135" i="12"/>
  <c r="D155" i="12"/>
  <c r="D145" i="12"/>
  <c r="D105" i="12"/>
  <c r="D115" i="12"/>
  <c r="D125" i="12"/>
  <c r="N13" i="1"/>
  <c r="D275" i="12"/>
  <c r="D285" i="12"/>
  <c r="D265" i="12"/>
  <c r="D255" i="12"/>
  <c r="D305" i="12"/>
  <c r="D295" i="12"/>
  <c r="D245" i="12"/>
  <c r="N8" i="1"/>
  <c r="D205" i="10"/>
  <c r="C89" i="11" s="1"/>
  <c r="G89" i="11" s="1"/>
  <c r="D235" i="10"/>
  <c r="C92" i="11" s="1"/>
  <c r="G92" i="11" s="1"/>
  <c r="D185" i="10"/>
  <c r="C87" i="11" s="1"/>
  <c r="G87" i="11" s="1"/>
  <c r="D225" i="10"/>
  <c r="C91" i="11" s="1"/>
  <c r="G91" i="11" s="1"/>
  <c r="D195" i="10"/>
  <c r="C88" i="11" s="1"/>
  <c r="G88" i="11" s="1"/>
  <c r="D215" i="10"/>
  <c r="C90" i="11" s="1"/>
  <c r="G90" i="11" s="1"/>
  <c r="D175" i="10"/>
  <c r="C86" i="11" s="1"/>
  <c r="G86" i="11" s="1"/>
  <c r="N9" i="1"/>
  <c r="D5" i="12"/>
  <c r="D15" i="12"/>
  <c r="D25" i="12"/>
  <c r="D245" i="10"/>
  <c r="C93" i="11" s="1"/>
  <c r="G93" i="11" s="1"/>
  <c r="D265" i="10"/>
  <c r="C95" i="11" s="1"/>
  <c r="G95" i="11" s="1"/>
  <c r="D255" i="10"/>
  <c r="C94" i="11" s="1"/>
  <c r="G94" i="11" s="1"/>
  <c r="D275" i="10"/>
  <c r="C96" i="11" s="1"/>
  <c r="G96" i="11" s="1"/>
  <c r="C1048576" i="12"/>
  <c r="C1048576" i="14"/>
  <c r="D145" i="10"/>
  <c r="C83" i="11" s="1"/>
  <c r="G83" i="11" s="1"/>
  <c r="D115" i="10"/>
  <c r="C80" i="11" s="1"/>
  <c r="G80" i="11" s="1"/>
  <c r="D105" i="10"/>
  <c r="C79" i="11" s="1"/>
  <c r="G79" i="11" s="1"/>
  <c r="D135" i="10"/>
  <c r="C82" i="11" s="1"/>
  <c r="G82" i="11" s="1"/>
  <c r="D155" i="10"/>
  <c r="C84" i="11" s="1"/>
  <c r="G84" i="11" s="1"/>
  <c r="D125" i="10"/>
  <c r="C81" i="11" s="1"/>
  <c r="G81" i="11" s="1"/>
  <c r="D165" i="10"/>
  <c r="C85" i="11" s="1"/>
  <c r="G85" i="11" s="1"/>
  <c r="E135" i="12"/>
  <c r="E165" i="12"/>
  <c r="E145" i="12"/>
  <c r="E155" i="12"/>
  <c r="E125" i="12"/>
  <c r="E105" i="12"/>
  <c r="E115" i="12"/>
  <c r="D45" i="10"/>
  <c r="C73" i="11" s="1"/>
  <c r="G73" i="11" s="1"/>
  <c r="D85" i="10"/>
  <c r="C77" i="11" s="1"/>
  <c r="G77" i="11" s="1"/>
  <c r="D95" i="10"/>
  <c r="C78" i="11" s="1"/>
  <c r="G78" i="11" s="1"/>
  <c r="D55" i="10"/>
  <c r="C74" i="11" s="1"/>
  <c r="G74" i="11" s="1"/>
  <c r="D75" i="10"/>
  <c r="C76" i="11" s="1"/>
  <c r="G76" i="11" s="1"/>
  <c r="D65" i="10"/>
  <c r="C75" i="11" s="1"/>
  <c r="G75" i="11" s="1"/>
  <c r="D35" i="10"/>
  <c r="C72" i="11" s="1"/>
  <c r="G72" i="11" s="1"/>
  <c r="N12" i="1"/>
  <c r="D235" i="12"/>
  <c r="D225" i="12"/>
  <c r="D215" i="12"/>
  <c r="D195" i="12"/>
  <c r="D205" i="12"/>
  <c r="D185" i="12"/>
  <c r="D175" i="12"/>
  <c r="N5" i="1"/>
  <c r="D25" i="10"/>
  <c r="C71" i="11" s="1"/>
  <c r="G71" i="11" s="1"/>
  <c r="D5" i="10"/>
  <c r="C69" i="11" s="1"/>
  <c r="G69" i="11" s="1"/>
  <c r="D15" i="10"/>
  <c r="C70" i="11" s="1"/>
  <c r="G70" i="11" s="1"/>
  <c r="D75" i="12"/>
  <c r="D85" i="12"/>
  <c r="D65" i="12"/>
  <c r="D95" i="12"/>
  <c r="D45" i="12"/>
  <c r="D55" i="12"/>
  <c r="D35" i="12"/>
  <c r="E165" i="10"/>
  <c r="D85" i="11" s="1"/>
  <c r="H85" i="11" s="1"/>
  <c r="E105" i="10"/>
  <c r="D79" i="11" s="1"/>
  <c r="H79" i="11" s="1"/>
  <c r="E125" i="10"/>
  <c r="D81" i="11" s="1"/>
  <c r="H81" i="11" s="1"/>
  <c r="E145" i="10"/>
  <c r="D83" i="11" s="1"/>
  <c r="H83" i="11" s="1"/>
  <c r="E155" i="10"/>
  <c r="D84" i="11" s="1"/>
  <c r="H84" i="11" s="1"/>
  <c r="E115" i="10"/>
  <c r="D80" i="11" s="1"/>
  <c r="H80" i="11" s="1"/>
  <c r="E135" i="10"/>
  <c r="D82" i="11" s="1"/>
  <c r="H82" i="11" s="1"/>
  <c r="N100" i="9"/>
  <c r="D95" i="9" s="1"/>
  <c r="C14" i="11" s="1"/>
  <c r="G14" i="11" s="1"/>
  <c r="N90" i="9"/>
  <c r="D85" i="9" s="1"/>
  <c r="C13" i="11" s="1"/>
  <c r="G13" i="11" s="1"/>
  <c r="O100" i="9"/>
  <c r="E95" i="9" s="1"/>
  <c r="D14" i="11" s="1"/>
  <c r="H14" i="11" s="1"/>
  <c r="N120" i="9"/>
  <c r="D115" i="9" s="1"/>
  <c r="C16" i="11" s="1"/>
  <c r="G16" i="11" s="1"/>
  <c r="N180" i="9"/>
  <c r="D175" i="9" s="1"/>
  <c r="C22" i="11" s="1"/>
  <c r="G22" i="11" s="1"/>
  <c r="P20" i="9"/>
  <c r="P40" i="9"/>
  <c r="P60" i="9"/>
  <c r="P70" i="9"/>
  <c r="P80" i="9"/>
  <c r="F75" i="9" s="1"/>
  <c r="E12" i="11" s="1"/>
  <c r="I12" i="11" s="1"/>
  <c r="P90" i="9"/>
  <c r="F85" i="9" s="1"/>
  <c r="E13" i="11" s="1"/>
  <c r="I13" i="11" s="1"/>
  <c r="P100" i="9"/>
  <c r="F95" i="9" s="1"/>
  <c r="E14" i="11" s="1"/>
  <c r="I14" i="11" s="1"/>
  <c r="O110" i="9"/>
  <c r="E105" i="9" s="1"/>
  <c r="D15" i="11" s="1"/>
  <c r="H15" i="11" s="1"/>
  <c r="N110" i="9"/>
  <c r="D105" i="9" s="1"/>
  <c r="C15" i="11" s="1"/>
  <c r="G15" i="11" s="1"/>
  <c r="N140" i="9"/>
  <c r="D135" i="9" s="1"/>
  <c r="C18" i="11" s="1"/>
  <c r="G18" i="11" s="1"/>
  <c r="N150" i="9"/>
  <c r="D145" i="9" s="1"/>
  <c r="C19" i="11" s="1"/>
  <c r="G19" i="11" s="1"/>
  <c r="N160" i="9"/>
  <c r="D155" i="9" s="1"/>
  <c r="C20" i="11" s="1"/>
  <c r="G20" i="11" s="1"/>
  <c r="N170" i="9"/>
  <c r="D165" i="9" s="1"/>
  <c r="C21" i="11" s="1"/>
  <c r="G21" i="11" s="1"/>
  <c r="N130" i="9"/>
  <c r="D125" i="9" s="1"/>
  <c r="C17" i="11" s="1"/>
  <c r="G17" i="11" s="1"/>
  <c r="P110" i="9"/>
  <c r="F105" i="9" s="1"/>
  <c r="E15" i="11" s="1"/>
  <c r="I15" i="11" s="1"/>
  <c r="O140" i="9"/>
  <c r="E135" i="9" s="1"/>
  <c r="D18" i="11" s="1"/>
  <c r="H18" i="11" s="1"/>
  <c r="O150" i="9"/>
  <c r="O160" i="9"/>
  <c r="E155" i="9" s="1"/>
  <c r="D20" i="11" s="1"/>
  <c r="H20" i="11" s="1"/>
  <c r="O170" i="9"/>
  <c r="E165" i="9" s="1"/>
  <c r="D21" i="11" s="1"/>
  <c r="H21" i="11" s="1"/>
  <c r="O180" i="9"/>
  <c r="E175" i="9" s="1"/>
  <c r="D22" i="11" s="1"/>
  <c r="H22" i="11" s="1"/>
  <c r="P120" i="9"/>
  <c r="F115" i="9" s="1"/>
  <c r="E16" i="11" s="1"/>
  <c r="I16" i="11" s="1"/>
  <c r="O120" i="9"/>
  <c r="E115" i="9" s="1"/>
  <c r="D16" i="11" s="1"/>
  <c r="H16" i="11" s="1"/>
  <c r="P150" i="9"/>
  <c r="P160" i="9"/>
  <c r="P170" i="9"/>
  <c r="P180" i="9"/>
  <c r="F175" i="9" s="1"/>
  <c r="E22" i="11" s="1"/>
  <c r="I22" i="11" s="1"/>
  <c r="N20" i="9"/>
  <c r="D15" i="9" s="1"/>
  <c r="C6" i="11" s="1"/>
  <c r="G6" i="11" s="1"/>
  <c r="N30" i="9"/>
  <c r="N40" i="9"/>
  <c r="D35" i="9" s="1"/>
  <c r="C8" i="11" s="1"/>
  <c r="G8" i="11" s="1"/>
  <c r="N50" i="9"/>
  <c r="N60" i="9"/>
  <c r="D55" i="9" s="1"/>
  <c r="C10" i="11" s="1"/>
  <c r="G10" i="11" s="1"/>
  <c r="N80" i="9"/>
  <c r="D75" i="9" s="1"/>
  <c r="C12" i="11" s="1"/>
  <c r="G12" i="11" s="1"/>
  <c r="O30" i="9"/>
  <c r="O40" i="9"/>
  <c r="O50" i="9"/>
  <c r="O60" i="9"/>
  <c r="O70" i="9"/>
  <c r="O80" i="9"/>
  <c r="E75" i="9" s="1"/>
  <c r="D12" i="11" s="1"/>
  <c r="H12" i="11" s="1"/>
  <c r="O130" i="9"/>
  <c r="E125" i="9" s="1"/>
  <c r="D17" i="11" s="1"/>
  <c r="H17" i="11" s="1"/>
  <c r="P130" i="9"/>
  <c r="F125" i="9" s="1"/>
  <c r="E17" i="11" s="1"/>
  <c r="I17" i="11" s="1"/>
  <c r="O20" i="9"/>
  <c r="P30" i="9"/>
  <c r="N70" i="9"/>
  <c r="D65" i="9" s="1"/>
  <c r="C11" i="11" s="1"/>
  <c r="G11" i="11" s="1"/>
  <c r="P140" i="9"/>
  <c r="F135" i="9" s="1"/>
  <c r="E18" i="11" s="1"/>
  <c r="I18" i="11" s="1"/>
  <c r="P50" i="9"/>
  <c r="O90" i="9"/>
  <c r="E85" i="9" s="1"/>
  <c r="D13" i="11" s="1"/>
  <c r="H13" i="11" s="1"/>
  <c r="N10" i="9"/>
  <c r="D5" i="9" s="1"/>
  <c r="C5" i="11" s="1"/>
  <c r="G5" i="11" s="1"/>
  <c r="P10" i="9"/>
  <c r="O10" i="9"/>
  <c r="N40" i="4"/>
  <c r="D35" i="4" s="1"/>
  <c r="N20" i="4"/>
  <c r="D15" i="4" s="1"/>
  <c r="P20" i="4"/>
  <c r="F15" i="4" s="1"/>
  <c r="P40" i="4"/>
  <c r="F35" i="4" s="1"/>
  <c r="O20" i="4"/>
  <c r="E15" i="4" s="1"/>
  <c r="O40" i="4"/>
  <c r="E35" i="4" s="1"/>
  <c r="N30" i="4"/>
  <c r="D25" i="4" s="1"/>
  <c r="O30" i="4"/>
  <c r="E25" i="4" s="1"/>
  <c r="P30" i="4"/>
  <c r="F25" i="4" s="1"/>
  <c r="O10" i="4"/>
  <c r="E5" i="4" s="1"/>
  <c r="P10" i="4"/>
  <c r="F5" i="4" s="1"/>
  <c r="N10" i="4"/>
  <c r="F165" i="9" l="1"/>
  <c r="E21" i="11" s="1"/>
  <c r="I21" i="11" s="1"/>
  <c r="F5" i="15"/>
  <c r="F285" i="14"/>
  <c r="F295" i="14"/>
  <c r="F75" i="15"/>
  <c r="F95" i="15"/>
  <c r="F85" i="15"/>
  <c r="F105" i="15"/>
  <c r="F125" i="15"/>
  <c r="F115" i="15"/>
  <c r="F135" i="15"/>
  <c r="F275" i="14"/>
  <c r="F215" i="14"/>
  <c r="F235" i="14"/>
  <c r="F225" i="14"/>
  <c r="F245" i="14"/>
  <c r="F255" i="14"/>
  <c r="F265" i="14"/>
  <c r="F185" i="14"/>
  <c r="F155" i="14"/>
  <c r="F195" i="14"/>
  <c r="F145" i="14"/>
  <c r="F205" i="14"/>
  <c r="F165" i="14"/>
  <c r="F175" i="14"/>
  <c r="F35" i="15"/>
  <c r="F55" i="15"/>
  <c r="F45" i="15"/>
  <c r="F25" i="15"/>
  <c r="F185" i="15"/>
  <c r="F65" i="15"/>
  <c r="F15" i="15"/>
  <c r="F195" i="15"/>
  <c r="F175" i="15"/>
  <c r="F145" i="15"/>
  <c r="F165" i="15"/>
  <c r="F155" i="15"/>
  <c r="F135" i="14"/>
  <c r="F85" i="14"/>
  <c r="F115" i="14"/>
  <c r="F95" i="14"/>
  <c r="F105" i="14"/>
  <c r="F125" i="14"/>
  <c r="F15" i="12"/>
  <c r="F25" i="12"/>
  <c r="F5" i="12"/>
  <c r="F265" i="10"/>
  <c r="E95" i="11" s="1"/>
  <c r="I95" i="11" s="1"/>
  <c r="F275" i="10"/>
  <c r="E96" i="11" s="1"/>
  <c r="I96" i="11" s="1"/>
  <c r="F255" i="10"/>
  <c r="E94" i="11" s="1"/>
  <c r="I94" i="11" s="1"/>
  <c r="F245" i="10"/>
  <c r="E93" i="11" s="1"/>
  <c r="I93" i="11" s="1"/>
  <c r="F185" i="10"/>
  <c r="E87" i="11" s="1"/>
  <c r="I87" i="11" s="1"/>
  <c r="F235" i="10"/>
  <c r="E92" i="11" s="1"/>
  <c r="I92" i="11" s="1"/>
  <c r="F225" i="10"/>
  <c r="E91" i="11" s="1"/>
  <c r="I91" i="11" s="1"/>
  <c r="F215" i="10"/>
  <c r="E90" i="11" s="1"/>
  <c r="I90" i="11" s="1"/>
  <c r="F175" i="10"/>
  <c r="E86" i="11" s="1"/>
  <c r="I86" i="11" s="1"/>
  <c r="F195" i="10"/>
  <c r="E88" i="11" s="1"/>
  <c r="I88" i="11" s="1"/>
  <c r="F205" i="10"/>
  <c r="E89" i="11" s="1"/>
  <c r="I89" i="11" s="1"/>
  <c r="F255" i="12"/>
  <c r="F285" i="12"/>
  <c r="F295" i="12"/>
  <c r="F275" i="12"/>
  <c r="F305" i="12"/>
  <c r="F265" i="12"/>
  <c r="F245" i="12"/>
  <c r="F25" i="10"/>
  <c r="E71" i="11" s="1"/>
  <c r="I71" i="11" s="1"/>
  <c r="F5" i="10"/>
  <c r="E69" i="11" s="1"/>
  <c r="I69" i="11" s="1"/>
  <c r="F15" i="10"/>
  <c r="E70" i="11" s="1"/>
  <c r="I70" i="11" s="1"/>
  <c r="F235" i="12"/>
  <c r="F215" i="12"/>
  <c r="F225" i="12"/>
  <c r="F195" i="12"/>
  <c r="F205" i="12"/>
  <c r="F185" i="12"/>
  <c r="F175" i="12"/>
  <c r="F155" i="9"/>
  <c r="E20" i="11" s="1"/>
  <c r="I20" i="11" s="1"/>
  <c r="F145" i="9"/>
  <c r="E19" i="11" s="1"/>
  <c r="I19" i="11" s="1"/>
  <c r="E25" i="10"/>
  <c r="D71" i="11" s="1"/>
  <c r="H71" i="11" s="1"/>
  <c r="E15" i="10"/>
  <c r="D70" i="11" s="1"/>
  <c r="H70" i="11" s="1"/>
  <c r="E5" i="10"/>
  <c r="D69" i="11" s="1"/>
  <c r="H69" i="11" s="1"/>
  <c r="E225" i="12"/>
  <c r="E235" i="12"/>
  <c r="E215" i="12"/>
  <c r="E195" i="12"/>
  <c r="E185" i="12"/>
  <c r="E205" i="12"/>
  <c r="E175" i="12"/>
  <c r="L105" i="11"/>
  <c r="L106" i="11"/>
  <c r="L107" i="11"/>
  <c r="E145" i="9"/>
  <c r="D19" i="11" s="1"/>
  <c r="H19" i="11" s="1"/>
  <c r="L108" i="11"/>
  <c r="E5" i="12"/>
  <c r="E15" i="12"/>
  <c r="E25" i="12"/>
  <c r="E265" i="10"/>
  <c r="D95" i="11" s="1"/>
  <c r="H95" i="11" s="1"/>
  <c r="E245" i="10"/>
  <c r="D93" i="11" s="1"/>
  <c r="H93" i="11" s="1"/>
  <c r="E275" i="10"/>
  <c r="D96" i="11" s="1"/>
  <c r="H96" i="11" s="1"/>
  <c r="E255" i="10"/>
  <c r="D94" i="11" s="1"/>
  <c r="H94" i="11" s="1"/>
  <c r="E195" i="10"/>
  <c r="D88" i="11" s="1"/>
  <c r="H88" i="11" s="1"/>
  <c r="E225" i="10"/>
  <c r="D91" i="11" s="1"/>
  <c r="H91" i="11" s="1"/>
  <c r="E205" i="10"/>
  <c r="D89" i="11" s="1"/>
  <c r="H89" i="11" s="1"/>
  <c r="E215" i="10"/>
  <c r="D90" i="11" s="1"/>
  <c r="H90" i="11" s="1"/>
  <c r="E235" i="10"/>
  <c r="D92" i="11" s="1"/>
  <c r="H92" i="11" s="1"/>
  <c r="E175" i="10"/>
  <c r="D86" i="11" s="1"/>
  <c r="H86" i="11" s="1"/>
  <c r="E185" i="10"/>
  <c r="D87" i="11" s="1"/>
  <c r="H87" i="11" s="1"/>
  <c r="E295" i="12"/>
  <c r="E275" i="12"/>
  <c r="E265" i="12"/>
  <c r="E285" i="12"/>
  <c r="E305" i="12"/>
  <c r="E255" i="12"/>
  <c r="E245" i="12"/>
  <c r="C95" i="9"/>
  <c r="B14" i="11" s="1"/>
  <c r="F14" i="11" s="1"/>
  <c r="C105" i="9"/>
  <c r="B15" i="11" s="1"/>
  <c r="F15" i="11" s="1"/>
  <c r="C135" i="9"/>
  <c r="B18" i="11" s="1"/>
  <c r="F18" i="11" s="1"/>
  <c r="C145" i="9"/>
  <c r="B19" i="11" s="1"/>
  <c r="F19" i="11" s="1"/>
  <c r="D25" i="9"/>
  <c r="C7" i="11" s="1"/>
  <c r="G7" i="11" s="1"/>
  <c r="C45" i="9"/>
  <c r="B9" i="11" s="1"/>
  <c r="F9" i="11" s="1"/>
  <c r="D45" i="9"/>
  <c r="C9" i="11" s="1"/>
  <c r="G9" i="11" s="1"/>
  <c r="C115" i="9"/>
  <c r="B16" i="11" s="1"/>
  <c r="F16" i="11" s="1"/>
  <c r="C75" i="9"/>
  <c r="B12" i="11" s="1"/>
  <c r="F12" i="11" s="1"/>
  <c r="C65" i="9"/>
  <c r="B11" i="11" s="1"/>
  <c r="F11" i="11" s="1"/>
  <c r="C155" i="9"/>
  <c r="B20" i="11" s="1"/>
  <c r="F20" i="11" s="1"/>
  <c r="C15" i="9"/>
  <c r="B6" i="11" s="1"/>
  <c r="F6" i="11" s="1"/>
  <c r="C165" i="9"/>
  <c r="B21" i="11" s="1"/>
  <c r="F21" i="11" s="1"/>
  <c r="C125" i="9"/>
  <c r="B17" i="11" s="1"/>
  <c r="F17" i="11" s="1"/>
  <c r="C175" i="9"/>
  <c r="B22" i="11" s="1"/>
  <c r="F22" i="11" s="1"/>
  <c r="C85" i="9"/>
  <c r="B13" i="11" s="1"/>
  <c r="F13" i="11" s="1"/>
  <c r="C5" i="9"/>
  <c r="B5" i="11" s="1"/>
  <c r="F5" i="11" s="1"/>
  <c r="C15" i="4"/>
  <c r="C35" i="4"/>
  <c r="C25" i="4"/>
  <c r="D5" i="4"/>
  <c r="C5" i="4"/>
  <c r="E65" i="9"/>
  <c r="D11" i="11" s="1"/>
  <c r="H11" i="11" s="1"/>
  <c r="L117" i="11" l="1"/>
  <c r="L119" i="11"/>
  <c r="L112" i="11"/>
  <c r="L120" i="11"/>
  <c r="L118" i="11"/>
  <c r="L114" i="11"/>
  <c r="L111" i="11"/>
  <c r="L113" i="11"/>
  <c r="L31" i="11"/>
  <c r="L33" i="11"/>
  <c r="L32" i="11"/>
  <c r="L34" i="11"/>
  <c r="E25" i="9"/>
  <c r="D7" i="11" s="1"/>
  <c r="H7" i="11" s="1"/>
  <c r="E15" i="9"/>
  <c r="D6" i="11" s="1"/>
  <c r="H6" i="11" s="1"/>
  <c r="E55" i="9"/>
  <c r="D10" i="11" s="1"/>
  <c r="H10" i="11" s="1"/>
  <c r="E45" i="9"/>
  <c r="D9" i="11" s="1"/>
  <c r="H9" i="11" s="1"/>
  <c r="C55" i="9"/>
  <c r="B10" i="11" s="1"/>
  <c r="F10" i="11" s="1"/>
  <c r="E35" i="9"/>
  <c r="D8" i="11" s="1"/>
  <c r="H8" i="11" s="1"/>
  <c r="E5" i="9"/>
  <c r="D5" i="11" s="1"/>
  <c r="H5" i="11" s="1"/>
  <c r="C25" i="9"/>
  <c r="B7" i="11" s="1"/>
  <c r="F7" i="11" s="1"/>
  <c r="C35" i="9"/>
  <c r="B8" i="11" s="1"/>
  <c r="F8" i="11" s="1"/>
  <c r="C1048576" i="4"/>
  <c r="L28" i="11" l="1"/>
  <c r="L25" i="11"/>
  <c r="L27" i="11"/>
  <c r="L26" i="11"/>
  <c r="L38" i="11"/>
  <c r="L40" i="11"/>
  <c r="L39" i="11"/>
  <c r="L37" i="11"/>
  <c r="C1048576" i="9"/>
  <c r="F25" i="9"/>
  <c r="E7" i="11" s="1"/>
  <c r="I7" i="11" s="1"/>
  <c r="F5" i="9"/>
  <c r="E5" i="11" s="1"/>
  <c r="I5" i="11" s="1"/>
  <c r="F35" i="9"/>
  <c r="E8" i="11" s="1"/>
  <c r="I8" i="11" s="1"/>
  <c r="F65" i="9"/>
  <c r="E11" i="11" s="1"/>
  <c r="I11" i="11" s="1"/>
  <c r="F45" i="9"/>
  <c r="E9" i="11" s="1"/>
  <c r="I9" i="11" s="1"/>
  <c r="F55" i="9"/>
  <c r="E10" i="11" s="1"/>
  <c r="I10" i="11" s="1"/>
  <c r="F15" i="9"/>
  <c r="E6" i="11" s="1"/>
  <c r="I6" i="11" s="1"/>
  <c r="L43" i="11" l="1"/>
  <c r="L45" i="11"/>
  <c r="L44" i="11"/>
  <c r="L46" i="11"/>
</calcChain>
</file>

<file path=xl/sharedStrings.xml><?xml version="1.0" encoding="utf-8"?>
<sst xmlns="http://schemas.openxmlformats.org/spreadsheetml/2006/main" count="4298" uniqueCount="122">
  <si>
    <t>Weight (lbs)</t>
  </si>
  <si>
    <t>CML Range (cal)</t>
  </si>
  <si>
    <t>CML Surplus (cal)</t>
  </si>
  <si>
    <t>Overview</t>
  </si>
  <si>
    <t>Month View: January</t>
  </si>
  <si>
    <t>Meal Options</t>
  </si>
  <si>
    <t>Breakfast</t>
  </si>
  <si>
    <t>Meal</t>
  </si>
  <si>
    <t>Protein (g)</t>
  </si>
  <si>
    <t>Fat (g)</t>
  </si>
  <si>
    <t>Carbs (g)</t>
  </si>
  <si>
    <t>Lunch</t>
  </si>
  <si>
    <t>Dinner</t>
  </si>
  <si>
    <t>Body Fat (%)</t>
  </si>
  <si>
    <t>Total Body Water (%)</t>
  </si>
  <si>
    <t>Muscle Mass (%)</t>
  </si>
  <si>
    <t>Bone Mass (%)</t>
  </si>
  <si>
    <t>BMI</t>
  </si>
  <si>
    <t>Protein Req. (g)</t>
  </si>
  <si>
    <t>Fat Req. (g)</t>
  </si>
  <si>
    <t>Carbs Req. (g)</t>
  </si>
  <si>
    <t>Custom</t>
  </si>
  <si>
    <t>Hawaiian Roll (per roll)</t>
  </si>
  <si>
    <t>Everything Bagel (per bagel)</t>
  </si>
  <si>
    <t>CFA Chicken Sandwich (per sandwich)</t>
  </si>
  <si>
    <t>CFA 12-Count Nuggets (per container)</t>
  </si>
  <si>
    <t>Clif Chocolate Mint (per bar)</t>
  </si>
  <si>
    <t>Banana (per fruit)</t>
  </si>
  <si>
    <t>Sicilian Pizza (per pizza)</t>
  </si>
  <si>
    <t>Egg (per egg)</t>
  </si>
  <si>
    <t>Brocolli Florets (per bag)</t>
  </si>
  <si>
    <t>Arby's Roast Beef Classic (per sandwich)</t>
  </si>
  <si>
    <t>Teriyaki Stir Fry (per bag)</t>
  </si>
  <si>
    <t>Apple (per fruit)</t>
  </si>
  <si>
    <t>Amount</t>
  </si>
  <si>
    <t>PostWorkout</t>
  </si>
  <si>
    <t>CML  (cal)</t>
  </si>
  <si>
    <t>CML Regular(cal)</t>
  </si>
  <si>
    <t>Total</t>
  </si>
  <si>
    <t>Month View: [Insert Month]</t>
  </si>
  <si>
    <t>[Insert Date]</t>
  </si>
  <si>
    <t>C Protein (g)</t>
  </si>
  <si>
    <t>C Fat (g)</t>
  </si>
  <si>
    <t>C Carbs (g)</t>
  </si>
  <si>
    <t>Barilla Farfalle (per box)</t>
  </si>
  <si>
    <t>Ground Beef 85/15 (per container)</t>
  </si>
  <si>
    <t>Family-Sized Ham (per container)</t>
  </si>
  <si>
    <t>Family-Sized Turkey (per container)</t>
  </si>
  <si>
    <t>Week</t>
  </si>
  <si>
    <t>Bacon (per strip)</t>
  </si>
  <si>
    <t>Chicken Breast (per breast)</t>
  </si>
  <si>
    <t>Ham Family-Sized (per container)</t>
  </si>
  <si>
    <t>Turkey Family-Sized (per container)</t>
  </si>
  <si>
    <t>Cooked Shrimp Large (per bag)</t>
  </si>
  <si>
    <t>CFA Vanilla Shake Large (per shake)</t>
  </si>
  <si>
    <t>CFA Fry Medium (per container)</t>
  </si>
  <si>
    <t>Pasta Sauce (per jar)</t>
  </si>
  <si>
    <t>Whitewheat Bread (per slice)</t>
  </si>
  <si>
    <t>Ingredient</t>
  </si>
  <si>
    <t>Toasted PB&amp;J (per sandwich)</t>
  </si>
  <si>
    <t>Pork Loin Roast (per roast)</t>
  </si>
  <si>
    <t>-</t>
  </si>
  <si>
    <t>Asparagus (per ten spears)</t>
  </si>
  <si>
    <t>Sockeye Salmon (per fillet)</t>
  </si>
  <si>
    <t>Cream Cheese (per bagel)</t>
  </si>
  <si>
    <t>Shredded Cheese (per half cup)</t>
  </si>
  <si>
    <t>Flour Tortilla (per tortilla)</t>
  </si>
  <si>
    <t>Caesar Salad Kit (per bag)</t>
  </si>
  <si>
    <t>Texas Toast (per slice)</t>
  </si>
  <si>
    <t>Month View: February</t>
  </si>
  <si>
    <t>Smoothie Calculator</t>
  </si>
  <si>
    <t>Apple (per quartered cup)</t>
  </si>
  <si>
    <t>Banana (per sliced cup)</t>
  </si>
  <si>
    <t>Blueberry (per cup)</t>
  </si>
  <si>
    <t>Mango (per sliced cup)</t>
  </si>
  <si>
    <t>Peach (per sliced cup)</t>
  </si>
  <si>
    <t>Pineapple (per sliced cup)</t>
  </si>
  <si>
    <t>Strawberry (per halves cup)</t>
  </si>
  <si>
    <t>Smoothie</t>
  </si>
  <si>
    <t>White Rice (per cup)</t>
  </si>
  <si>
    <t>Progress View</t>
  </si>
  <si>
    <t>January</t>
  </si>
  <si>
    <t>Date</t>
  </si>
  <si>
    <t>CML %</t>
  </si>
  <si>
    <t>Protein %</t>
  </si>
  <si>
    <t>Fat %</t>
  </si>
  <si>
    <t>Carbs %</t>
  </si>
  <si>
    <t>Clif Chocolate (per bar)</t>
  </si>
  <si>
    <t>CFA Fry Large (per container)</t>
  </si>
  <si>
    <t>CFA Sprite Large (per container)</t>
  </si>
  <si>
    <t>Sliced Cheese (per slice)</t>
  </si>
  <si>
    <t>Goya Tomato Sauce (per can)</t>
  </si>
  <si>
    <t>Green Bell Pepper (per pepper)</t>
  </si>
  <si>
    <t>Grape Jelly (per sandwich)</t>
  </si>
  <si>
    <t>Creamy Peanut Butter (per sandwich)</t>
  </si>
  <si>
    <t>Manual Meal Calculator</t>
  </si>
  <si>
    <t>PS The Classic (per smoothie)</t>
  </si>
  <si>
    <t>PS Two Weeks with Pay (per smoothie)</t>
  </si>
  <si>
    <t>PS Big Blue (per smoothie)</t>
  </si>
  <si>
    <t>Goya Yellow Rice (per cup)</t>
  </si>
  <si>
    <t>CFA Sprite Medium (per container)</t>
  </si>
  <si>
    <t>Milk 2% (per bowl)</t>
  </si>
  <si>
    <t>Special K Protein Cereal (per bowl)</t>
  </si>
  <si>
    <t>Silk Dairy-Free Vanilla Yogurt (per cup)</t>
  </si>
  <si>
    <t>ON Gold Standard Vanilla (per scoop)</t>
  </si>
  <si>
    <t>Clif Chocolate Peanut Butter (per bar)</t>
  </si>
  <si>
    <t>Month View: March</t>
  </si>
  <si>
    <t>Blueberry Bagel (per bagel)</t>
  </si>
  <si>
    <t>Protein</t>
  </si>
  <si>
    <t>Std Deviation:</t>
  </si>
  <si>
    <t>Min:</t>
  </si>
  <si>
    <t>Max:</t>
  </si>
  <si>
    <t>Average:</t>
  </si>
  <si>
    <t>Fat</t>
  </si>
  <si>
    <t>Carbs</t>
  </si>
  <si>
    <t>CML</t>
  </si>
  <si>
    <t>Placeholder</t>
  </si>
  <si>
    <t>Month View: May</t>
  </si>
  <si>
    <t>5//2019</t>
  </si>
  <si>
    <t>CFA Chicken Biscuit (per biscuit)</t>
  </si>
  <si>
    <t>CFA Chicken Minis (per mini)</t>
  </si>
  <si>
    <t>CFA Hashbrowns (per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</si>
</sst>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3"/>
      <color theme="3"/>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sz val="22"/>
      <color theme="3"/>
      <name val="Calibri Light"/>
      <family val="2"/>
      <scheme val="major"/>
    </font>
    <font>
      <b/>
      <sz val="11"/>
      <color theme="1"/>
      <name val="Calibri"/>
      <family val="2"/>
      <scheme val="minor"/>
    </font>
  </fonts>
  <fills count="8">
    <fill>
      <patternFill patternType="none"/>
    </fill>
    <fill>
      <patternFill patternType="gray125"/>
    </fill>
    <fill>
      <patternFill patternType="solid">
        <fgColor theme="5" tint="0.79998168889431442"/>
        <bgColor indexed="65"/>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7" tint="0.79998168889431442"/>
        <bgColor indexed="65"/>
      </patternFill>
    </fill>
    <fill>
      <patternFill patternType="solid">
        <fgColor theme="9" tint="0.79998168889431442"/>
        <bgColor indexed="65"/>
      </patternFill>
    </fill>
    <fill>
      <patternFill patternType="solid">
        <fgColor theme="4" tint="0.59999389629810485"/>
        <bgColor indexed="65"/>
      </patternFill>
    </fill>
  </fills>
  <borders count="7">
    <border>
      <left/>
      <right/>
      <top/>
      <bottom/>
      <diagonal/>
    </border>
    <border>
      <left/>
      <right/>
      <top/>
      <bottom style="thick">
        <color theme="4" tint="0.499984740745262"/>
      </bottom>
      <diagonal/>
    </border>
    <border>
      <left/>
      <right/>
      <top/>
      <bottom style="thick">
        <color theme="4"/>
      </bottom>
      <diagonal/>
    </border>
    <border>
      <left/>
      <right style="thick">
        <color theme="4" tint="0.39997558519241921"/>
      </right>
      <top/>
      <bottom/>
      <diagonal/>
    </border>
    <border>
      <left/>
      <right/>
      <top/>
      <bottom style="thick">
        <color theme="4" tint="0.39997558519241921"/>
      </bottom>
      <diagonal/>
    </border>
    <border>
      <left style="thick">
        <color theme="4" tint="0.39997558519241921"/>
      </left>
      <right/>
      <top/>
      <bottom style="thick">
        <color theme="4" tint="0.39997558519241921"/>
      </bottom>
      <diagonal/>
    </border>
    <border>
      <left style="thin">
        <color theme="8"/>
      </left>
      <right style="thin">
        <color theme="8"/>
      </right>
      <top style="thin">
        <color theme="8"/>
      </top>
      <bottom style="thin">
        <color theme="8"/>
      </bottom>
      <diagonal/>
    </border>
  </borders>
  <cellStyleXfs count="8">
    <xf numFmtId="0" fontId="0" fillId="0" borderId="0"/>
    <xf numFmtId="0" fontId="1" fillId="0" borderId="1" applyNumberFormat="0" applyFill="0" applyAlignment="0" applyProtection="0"/>
    <xf numFmtId="0" fontId="3" fillId="0" borderId="0" applyNumberFormat="0" applyFill="0" applyBorder="0" applyAlignment="0" applyProtection="0"/>
    <xf numFmtId="0" fontId="4" fillId="0" borderId="2" applyNumberFormat="0" applyFill="0" applyAlignment="0" applyProtection="0"/>
    <xf numFmtId="0" fontId="2" fillId="2"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cellStyleXfs>
  <cellXfs count="64">
    <xf numFmtId="0" fontId="0" fillId="0" borderId="0" xfId="0"/>
    <xf numFmtId="14" fontId="0" fillId="0" borderId="0" xfId="0" applyNumberFormat="1"/>
    <xf numFmtId="0" fontId="0" fillId="0" borderId="0" xfId="0" applyAlignment="1">
      <alignment horizontal="center"/>
    </xf>
    <xf numFmtId="0" fontId="1" fillId="0" borderId="1" xfId="1" applyAlignment="1">
      <alignment horizontal="center"/>
    </xf>
    <xf numFmtId="14" fontId="0" fillId="0" borderId="0" xfId="0" applyNumberFormat="1" applyAlignment="1">
      <alignment horizontal="center"/>
    </xf>
    <xf numFmtId="0" fontId="1" fillId="0" borderId="1" xfId="1" applyFill="1" applyAlignment="1">
      <alignment horizontal="center"/>
    </xf>
    <xf numFmtId="0" fontId="3" fillId="0" borderId="0" xfId="2"/>
    <xf numFmtId="0" fontId="4" fillId="0" borderId="2" xfId="3"/>
    <xf numFmtId="0" fontId="4" fillId="0" borderId="0" xfId="3" applyBorder="1"/>
    <xf numFmtId="0" fontId="1" fillId="0" borderId="1" xfId="1" applyFill="1" applyBorder="1" applyAlignment="1">
      <alignment horizontal="center"/>
    </xf>
    <xf numFmtId="0" fontId="1" fillId="0" borderId="1" xfId="1" applyAlignment="1">
      <alignment horizontal="right"/>
    </xf>
    <xf numFmtId="0" fontId="1" fillId="0" borderId="1" xfId="1" applyAlignment="1">
      <alignment horizontal="left"/>
    </xf>
    <xf numFmtId="0" fontId="1" fillId="0" borderId="1" xfId="1" applyFill="1" applyAlignment="1">
      <alignment horizontal="left"/>
    </xf>
    <xf numFmtId="0" fontId="2" fillId="2" borderId="0" xfId="4"/>
    <xf numFmtId="0" fontId="2" fillId="2" borderId="0" xfId="4" applyBorder="1" applyAlignment="1">
      <alignment horizontal="center"/>
    </xf>
    <xf numFmtId="0" fontId="2" fillId="2" borderId="0" xfId="4" applyAlignment="1">
      <alignment horizontal="center"/>
    </xf>
    <xf numFmtId="0" fontId="0" fillId="0" borderId="0" xfId="0" applyBorder="1" applyAlignment="1">
      <alignment horizontal="center"/>
    </xf>
    <xf numFmtId="0" fontId="0" fillId="0" borderId="0" xfId="0" applyBorder="1"/>
    <xf numFmtId="14" fontId="0" fillId="0" borderId="0" xfId="0" applyNumberFormat="1" applyBorder="1" applyAlignment="1">
      <alignment horizontal="center"/>
    </xf>
    <xf numFmtId="0" fontId="2" fillId="2" borderId="0" xfId="4" applyBorder="1"/>
    <xf numFmtId="0" fontId="5" fillId="2" borderId="0" xfId="2" applyFont="1" applyFill="1"/>
    <xf numFmtId="14" fontId="3" fillId="2" borderId="0" xfId="2" applyNumberFormat="1" applyFill="1" applyAlignment="1">
      <alignment horizontal="left"/>
    </xf>
    <xf numFmtId="0" fontId="1" fillId="0" borderId="3" xfId="1" applyBorder="1" applyAlignment="1">
      <alignment horizontal="center"/>
    </xf>
    <xf numFmtId="0" fontId="0" fillId="0" borderId="4" xfId="0" applyBorder="1" applyAlignment="1">
      <alignment horizontal="center"/>
    </xf>
    <xf numFmtId="0" fontId="5" fillId="3" borderId="0" xfId="2" applyFont="1" applyFill="1"/>
    <xf numFmtId="0" fontId="2" fillId="3" borderId="0" xfId="4" applyFill="1"/>
    <xf numFmtId="14" fontId="3" fillId="3" borderId="0" xfId="2" applyNumberFormat="1" applyFill="1" applyAlignment="1">
      <alignment horizontal="left"/>
    </xf>
    <xf numFmtId="0" fontId="2" fillId="3" borderId="0" xfId="4" applyFill="1" applyBorder="1" applyAlignment="1">
      <alignment horizontal="center"/>
    </xf>
    <xf numFmtId="0" fontId="2" fillId="3" borderId="0" xfId="4" applyFill="1" applyBorder="1"/>
    <xf numFmtId="0" fontId="2" fillId="3" borderId="0" xfId="4" applyFill="1" applyAlignment="1">
      <alignment horizontal="center"/>
    </xf>
    <xf numFmtId="0" fontId="1" fillId="3" borderId="1" xfId="1" applyFill="1" applyAlignment="1">
      <alignment horizontal="center"/>
    </xf>
    <xf numFmtId="0" fontId="2" fillId="0" borderId="0" xfId="4" applyFill="1"/>
    <xf numFmtId="0" fontId="6" fillId="0" borderId="0" xfId="0" applyFont="1"/>
    <xf numFmtId="0" fontId="5" fillId="4" borderId="0" xfId="2" applyFont="1" applyFill="1"/>
    <xf numFmtId="0" fontId="2" fillId="4" borderId="0" xfId="4" applyFill="1"/>
    <xf numFmtId="0" fontId="3" fillId="4" borderId="0" xfId="2" applyFill="1" applyAlignment="1">
      <alignment horizontal="left"/>
    </xf>
    <xf numFmtId="0" fontId="2" fillId="4" borderId="0" xfId="4" applyFill="1" applyBorder="1" applyAlignment="1">
      <alignment horizontal="center"/>
    </xf>
    <xf numFmtId="0" fontId="2" fillId="4" borderId="0" xfId="4" applyFill="1" applyBorder="1"/>
    <xf numFmtId="0" fontId="2" fillId="4" borderId="0" xfId="4" applyFill="1" applyAlignment="1">
      <alignment horizontal="center"/>
    </xf>
    <xf numFmtId="164" fontId="0" fillId="0" borderId="0" xfId="0" applyNumberFormat="1" applyAlignment="1">
      <alignment horizontal="center"/>
    </xf>
    <xf numFmtId="0" fontId="0" fillId="0" borderId="5" xfId="0" applyBorder="1" applyAlignment="1">
      <alignment horizontal="center"/>
    </xf>
    <xf numFmtId="0" fontId="1" fillId="0" borderId="0" xfId="1" applyBorder="1" applyAlignment="1">
      <alignment horizontal="center"/>
    </xf>
    <xf numFmtId="0" fontId="0" fillId="0" borderId="6" xfId="0" applyFont="1" applyBorder="1" applyAlignment="1">
      <alignment horizontal="center"/>
    </xf>
    <xf numFmtId="0" fontId="3" fillId="4" borderId="0" xfId="2" applyFill="1"/>
    <xf numFmtId="0" fontId="1" fillId="0" borderId="1" xfId="1"/>
    <xf numFmtId="0" fontId="2" fillId="5" borderId="0" xfId="5"/>
    <xf numFmtId="0" fontId="2" fillId="5" borderId="0" xfId="5" applyBorder="1" applyAlignment="1">
      <alignment horizontal="center"/>
    </xf>
    <xf numFmtId="0" fontId="2" fillId="5" borderId="0" xfId="5" applyBorder="1"/>
    <xf numFmtId="0" fontId="2" fillId="5" borderId="0" xfId="5" applyAlignment="1">
      <alignment horizontal="center"/>
    </xf>
    <xf numFmtId="14" fontId="3" fillId="5" borderId="0" xfId="2" applyNumberFormat="1" applyFill="1" applyAlignment="1">
      <alignment horizontal="left"/>
    </xf>
    <xf numFmtId="0" fontId="3" fillId="5" borderId="0" xfId="2" applyFill="1"/>
    <xf numFmtId="0" fontId="2" fillId="6" borderId="0" xfId="6"/>
    <xf numFmtId="0" fontId="2" fillId="6" borderId="0" xfId="6" applyBorder="1" applyAlignment="1">
      <alignment horizontal="center"/>
    </xf>
    <xf numFmtId="0" fontId="2" fillId="6" borderId="0" xfId="6" applyBorder="1"/>
    <xf numFmtId="0" fontId="2" fillId="6" borderId="0" xfId="6" applyAlignment="1">
      <alignment horizontal="center"/>
    </xf>
    <xf numFmtId="0" fontId="3" fillId="6" borderId="0" xfId="2" applyFill="1"/>
    <xf numFmtId="14" fontId="3" fillId="6" borderId="0" xfId="2" applyNumberFormat="1" applyFill="1" applyAlignment="1">
      <alignment horizontal="left"/>
    </xf>
    <xf numFmtId="0" fontId="2" fillId="7" borderId="0" xfId="7"/>
    <xf numFmtId="0" fontId="3" fillId="7" borderId="0" xfId="2" applyFill="1"/>
    <xf numFmtId="0" fontId="2" fillId="7" borderId="0" xfId="7" applyBorder="1" applyAlignment="1">
      <alignment horizontal="center"/>
    </xf>
    <xf numFmtId="0" fontId="2" fillId="7" borderId="0" xfId="7" applyBorder="1"/>
    <xf numFmtId="0" fontId="2" fillId="7" borderId="0" xfId="7" applyAlignment="1">
      <alignment horizontal="center"/>
    </xf>
    <xf numFmtId="0" fontId="3" fillId="7" borderId="0" xfId="2" applyFill="1" applyAlignment="1">
      <alignment horizontal="left"/>
    </xf>
    <xf numFmtId="14" fontId="3" fillId="7" borderId="0" xfId="2" applyNumberFormat="1" applyFill="1" applyAlignment="1">
      <alignment horizontal="left"/>
    </xf>
  </cellXfs>
  <cellStyles count="8">
    <cellStyle name="20% - Accent2" xfId="4" builtinId="34"/>
    <cellStyle name="20% - Accent4" xfId="5" builtinId="42"/>
    <cellStyle name="20% - Accent6" xfId="6" builtinId="50"/>
    <cellStyle name="40% - Accent1" xfId="7" builtinId="31"/>
    <cellStyle name="Heading 1" xfId="3" builtinId="16"/>
    <cellStyle name="Heading 2" xfId="1" builtinId="17"/>
    <cellStyle name="Normal" xfId="0" builtinId="0"/>
    <cellStyle name="Title" xfId="2" builtinId="15"/>
  </cellStyles>
  <dxfs count="52">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ck">
          <color theme="4" tint="0.499984740745262"/>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ck">
          <color theme="4" tint="0.499984740745262"/>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ck">
          <color theme="4" tint="0.499984740745262"/>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ck">
          <color theme="4" tint="0.499984740745262"/>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ck">
          <color theme="4" tint="0.499984740745262"/>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ck">
          <color theme="4"/>
        </top>
      </border>
    </dxf>
    <dxf>
      <alignment horizontal="center" vertical="bottom" textRotation="0" wrapText="0" indent="0" justifyLastLine="0" shrinkToFit="0" readingOrder="0"/>
    </dxf>
    <dxf>
      <border outline="0">
        <bottom style="thick">
          <color theme="4" tint="0.499984740745262"/>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ck">
          <color theme="4" tint="0.499984740745262"/>
        </bottom>
      </border>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'Progress View'!$G$4</c:f>
              <c:strCache>
                <c:ptCount val="1"/>
                <c:pt idx="0">
                  <c:v>Protein %</c:v>
                </c:pt>
              </c:strCache>
            </c:strRef>
          </c:tx>
          <c:spPr>
            <a:ln w="28575" cap="rnd">
              <a:solidFill>
                <a:schemeClr val="accent1"/>
              </a:solidFill>
              <a:round/>
            </a:ln>
            <a:effectLst/>
          </c:spPr>
          <c:marker>
            <c:symbol val="none"/>
          </c:marker>
          <c:cat>
            <c:numRef>
              <c:f>'Progress View'!$A$5:$A$22</c:f>
              <c:numCache>
                <c:formatCode>m/d/yyyy</c:formatCode>
                <c:ptCount val="18"/>
                <c:pt idx="0">
                  <c:v>43479</c:v>
                </c:pt>
                <c:pt idx="1">
                  <c:v>43480</c:v>
                </c:pt>
                <c:pt idx="2">
                  <c:v>43481</c:v>
                </c:pt>
                <c:pt idx="3">
                  <c:v>43482</c:v>
                </c:pt>
                <c:pt idx="4">
                  <c:v>43483</c:v>
                </c:pt>
                <c:pt idx="5">
                  <c:v>43484</c:v>
                </c:pt>
                <c:pt idx="6">
                  <c:v>43485</c:v>
                </c:pt>
                <c:pt idx="7">
                  <c:v>43486</c:v>
                </c:pt>
                <c:pt idx="8">
                  <c:v>43487</c:v>
                </c:pt>
                <c:pt idx="9">
                  <c:v>43488</c:v>
                </c:pt>
                <c:pt idx="10">
                  <c:v>43489</c:v>
                </c:pt>
                <c:pt idx="11">
                  <c:v>43490</c:v>
                </c:pt>
                <c:pt idx="12">
                  <c:v>43491</c:v>
                </c:pt>
                <c:pt idx="13">
                  <c:v>43492</c:v>
                </c:pt>
                <c:pt idx="14">
                  <c:v>43493</c:v>
                </c:pt>
                <c:pt idx="15">
                  <c:v>43494</c:v>
                </c:pt>
                <c:pt idx="16">
                  <c:v>43495</c:v>
                </c:pt>
                <c:pt idx="17">
                  <c:v>43496</c:v>
                </c:pt>
              </c:numCache>
            </c:numRef>
          </c:cat>
          <c:val>
            <c:numRef>
              <c:f>'Progress View'!$G$5:$G$22</c:f>
              <c:numCache>
                <c:formatCode>0.0%</c:formatCode>
                <c:ptCount val="18"/>
                <c:pt idx="0">
                  <c:v>1.3375999999999999</c:v>
                </c:pt>
                <c:pt idx="1">
                  <c:v>0.4824</c:v>
                </c:pt>
                <c:pt idx="2">
                  <c:v>1.0375999999999999</c:v>
                </c:pt>
                <c:pt idx="3">
                  <c:v>1.1232800000000001</c:v>
                </c:pt>
                <c:pt idx="4">
                  <c:v>0.71199999999999997</c:v>
                </c:pt>
                <c:pt idx="5">
                  <c:v>0.76560000000000006</c:v>
                </c:pt>
                <c:pt idx="6">
                  <c:v>0.64</c:v>
                </c:pt>
                <c:pt idx="7">
                  <c:v>1.6718548387096774</c:v>
                </c:pt>
                <c:pt idx="8">
                  <c:v>1.5864919354838709</c:v>
                </c:pt>
                <c:pt idx="9">
                  <c:v>1.1491935483870968</c:v>
                </c:pt>
                <c:pt idx="10">
                  <c:v>1.042741935483871</c:v>
                </c:pt>
                <c:pt idx="11">
                  <c:v>0.95161290322580649</c:v>
                </c:pt>
                <c:pt idx="12">
                  <c:v>1.2451612903225806</c:v>
                </c:pt>
                <c:pt idx="13">
                  <c:v>1.2338709677419355</c:v>
                </c:pt>
                <c:pt idx="14">
                  <c:v>0.92460317460317465</c:v>
                </c:pt>
                <c:pt idx="15">
                  <c:v>1.402063492063492</c:v>
                </c:pt>
                <c:pt idx="16">
                  <c:v>0.8392857142857143</c:v>
                </c:pt>
                <c:pt idx="17">
                  <c:v>0.83333333333333337</c:v>
                </c:pt>
              </c:numCache>
            </c:numRef>
          </c:val>
          <c:smooth val="0"/>
          <c:extLst>
            <c:ext xmlns:c16="http://schemas.microsoft.com/office/drawing/2014/chart" uri="{C3380CC4-5D6E-409C-BE32-E72D297353CC}">
              <c16:uniqueId val="{00000000-3B56-4878-8070-34552E754B44}"/>
            </c:ext>
          </c:extLst>
        </c:ser>
        <c:ser>
          <c:idx val="1"/>
          <c:order val="1"/>
          <c:tx>
            <c:strRef>
              <c:f>'Progress View'!$H$4</c:f>
              <c:strCache>
                <c:ptCount val="1"/>
                <c:pt idx="0">
                  <c:v>Fat %</c:v>
                </c:pt>
              </c:strCache>
            </c:strRef>
          </c:tx>
          <c:spPr>
            <a:ln w="28575" cap="rnd">
              <a:solidFill>
                <a:schemeClr val="accent2"/>
              </a:solidFill>
              <a:round/>
            </a:ln>
            <a:effectLst/>
          </c:spPr>
          <c:marker>
            <c:symbol val="none"/>
          </c:marker>
          <c:cat>
            <c:numRef>
              <c:f>'Progress View'!$A$5:$A$22</c:f>
              <c:numCache>
                <c:formatCode>m/d/yyyy</c:formatCode>
                <c:ptCount val="18"/>
                <c:pt idx="0">
                  <c:v>43479</c:v>
                </c:pt>
                <c:pt idx="1">
                  <c:v>43480</c:v>
                </c:pt>
                <c:pt idx="2">
                  <c:v>43481</c:v>
                </c:pt>
                <c:pt idx="3">
                  <c:v>43482</c:v>
                </c:pt>
                <c:pt idx="4">
                  <c:v>43483</c:v>
                </c:pt>
                <c:pt idx="5">
                  <c:v>43484</c:v>
                </c:pt>
                <c:pt idx="6">
                  <c:v>43485</c:v>
                </c:pt>
                <c:pt idx="7">
                  <c:v>43486</c:v>
                </c:pt>
                <c:pt idx="8">
                  <c:v>43487</c:v>
                </c:pt>
                <c:pt idx="9">
                  <c:v>43488</c:v>
                </c:pt>
                <c:pt idx="10">
                  <c:v>43489</c:v>
                </c:pt>
                <c:pt idx="11">
                  <c:v>43490</c:v>
                </c:pt>
                <c:pt idx="12">
                  <c:v>43491</c:v>
                </c:pt>
                <c:pt idx="13">
                  <c:v>43492</c:v>
                </c:pt>
                <c:pt idx="14">
                  <c:v>43493</c:v>
                </c:pt>
                <c:pt idx="15">
                  <c:v>43494</c:v>
                </c:pt>
                <c:pt idx="16">
                  <c:v>43495</c:v>
                </c:pt>
                <c:pt idx="17">
                  <c:v>43496</c:v>
                </c:pt>
              </c:numCache>
            </c:numRef>
          </c:cat>
          <c:val>
            <c:numRef>
              <c:f>'Progress View'!$H$5:$H$22</c:f>
              <c:numCache>
                <c:formatCode>0.0%</c:formatCode>
                <c:ptCount val="18"/>
                <c:pt idx="0">
                  <c:v>1.9746031746031747</c:v>
                </c:pt>
                <c:pt idx="1">
                  <c:v>0.38412698412698409</c:v>
                </c:pt>
                <c:pt idx="2">
                  <c:v>1.3793650793650793</c:v>
                </c:pt>
                <c:pt idx="3">
                  <c:v>0.51857142857142857</c:v>
                </c:pt>
                <c:pt idx="4">
                  <c:v>0.84126984126984128</c:v>
                </c:pt>
                <c:pt idx="5">
                  <c:v>0.53492063492063502</c:v>
                </c:pt>
                <c:pt idx="6">
                  <c:v>0.49206349206349204</c:v>
                </c:pt>
                <c:pt idx="7">
                  <c:v>1.2811290322580646</c:v>
                </c:pt>
                <c:pt idx="8">
                  <c:v>1.5407258064516129</c:v>
                </c:pt>
                <c:pt idx="9">
                  <c:v>2.1306451612903223</c:v>
                </c:pt>
                <c:pt idx="10">
                  <c:v>0.65645161290322585</c:v>
                </c:pt>
                <c:pt idx="11">
                  <c:v>1.3967741935483871</c:v>
                </c:pt>
                <c:pt idx="12">
                  <c:v>1.7080645161290324</c:v>
                </c:pt>
                <c:pt idx="13">
                  <c:v>1.9879032258064515</c:v>
                </c:pt>
                <c:pt idx="14">
                  <c:v>0.98412698412698407</c:v>
                </c:pt>
                <c:pt idx="15">
                  <c:v>1.3336507936507935</c:v>
                </c:pt>
                <c:pt idx="16">
                  <c:v>1.1884920634920635</c:v>
                </c:pt>
                <c:pt idx="17">
                  <c:v>1.8333333333333333</c:v>
                </c:pt>
              </c:numCache>
            </c:numRef>
          </c:val>
          <c:smooth val="0"/>
          <c:extLst>
            <c:ext xmlns:c16="http://schemas.microsoft.com/office/drawing/2014/chart" uri="{C3380CC4-5D6E-409C-BE32-E72D297353CC}">
              <c16:uniqueId val="{00000001-3B56-4878-8070-34552E754B44}"/>
            </c:ext>
          </c:extLst>
        </c:ser>
        <c:ser>
          <c:idx val="2"/>
          <c:order val="2"/>
          <c:tx>
            <c:strRef>
              <c:f>'Progress View'!$I$4</c:f>
              <c:strCache>
                <c:ptCount val="1"/>
                <c:pt idx="0">
                  <c:v>Carbs %</c:v>
                </c:pt>
              </c:strCache>
            </c:strRef>
          </c:tx>
          <c:spPr>
            <a:ln w="28575" cap="rnd">
              <a:solidFill>
                <a:schemeClr val="accent3"/>
              </a:solidFill>
              <a:round/>
            </a:ln>
            <a:effectLst/>
          </c:spPr>
          <c:marker>
            <c:symbol val="none"/>
          </c:marker>
          <c:cat>
            <c:numRef>
              <c:f>'Progress View'!$A$5:$A$22</c:f>
              <c:numCache>
                <c:formatCode>m/d/yyyy</c:formatCode>
                <c:ptCount val="18"/>
                <c:pt idx="0">
                  <c:v>43479</c:v>
                </c:pt>
                <c:pt idx="1">
                  <c:v>43480</c:v>
                </c:pt>
                <c:pt idx="2">
                  <c:v>43481</c:v>
                </c:pt>
                <c:pt idx="3">
                  <c:v>43482</c:v>
                </c:pt>
                <c:pt idx="4">
                  <c:v>43483</c:v>
                </c:pt>
                <c:pt idx="5">
                  <c:v>43484</c:v>
                </c:pt>
                <c:pt idx="6">
                  <c:v>43485</c:v>
                </c:pt>
                <c:pt idx="7">
                  <c:v>43486</c:v>
                </c:pt>
                <c:pt idx="8">
                  <c:v>43487</c:v>
                </c:pt>
                <c:pt idx="9">
                  <c:v>43488</c:v>
                </c:pt>
                <c:pt idx="10">
                  <c:v>43489</c:v>
                </c:pt>
                <c:pt idx="11">
                  <c:v>43490</c:v>
                </c:pt>
                <c:pt idx="12">
                  <c:v>43491</c:v>
                </c:pt>
                <c:pt idx="13">
                  <c:v>43492</c:v>
                </c:pt>
                <c:pt idx="14">
                  <c:v>43493</c:v>
                </c:pt>
                <c:pt idx="15">
                  <c:v>43494</c:v>
                </c:pt>
                <c:pt idx="16">
                  <c:v>43495</c:v>
                </c:pt>
                <c:pt idx="17">
                  <c:v>43496</c:v>
                </c:pt>
              </c:numCache>
            </c:numRef>
          </c:cat>
          <c:val>
            <c:numRef>
              <c:f>'Progress View'!$I$5:$I$22</c:f>
              <c:numCache>
                <c:formatCode>0.0%</c:formatCode>
                <c:ptCount val="18"/>
                <c:pt idx="0">
                  <c:v>1.2572390572390573</c:v>
                </c:pt>
                <c:pt idx="1">
                  <c:v>0.54309764309764319</c:v>
                </c:pt>
                <c:pt idx="2">
                  <c:v>0.91548821548821546</c:v>
                </c:pt>
                <c:pt idx="3">
                  <c:v>0.35925925925925928</c:v>
                </c:pt>
                <c:pt idx="4">
                  <c:v>0.40909090909090912</c:v>
                </c:pt>
                <c:pt idx="5">
                  <c:v>0.36329966329966334</c:v>
                </c:pt>
                <c:pt idx="6">
                  <c:v>0.34680134680134678</c:v>
                </c:pt>
                <c:pt idx="7">
                  <c:v>0.6812969283276451</c:v>
                </c:pt>
                <c:pt idx="8">
                  <c:v>0.70170648464163821</c:v>
                </c:pt>
                <c:pt idx="9">
                  <c:v>1.0675767918088737</c:v>
                </c:pt>
                <c:pt idx="10">
                  <c:v>0.60477815699658699</c:v>
                </c:pt>
                <c:pt idx="11">
                  <c:v>0.84266211604095564</c:v>
                </c:pt>
                <c:pt idx="12">
                  <c:v>1.0204778156996588</c:v>
                </c:pt>
                <c:pt idx="13">
                  <c:v>0.94709897610921501</c:v>
                </c:pt>
                <c:pt idx="14">
                  <c:v>0.75600000000000001</c:v>
                </c:pt>
                <c:pt idx="15">
                  <c:v>0.73299999999999998</c:v>
                </c:pt>
                <c:pt idx="16">
                  <c:v>0.94750000000000001</c:v>
                </c:pt>
                <c:pt idx="17">
                  <c:v>0.79433333333333334</c:v>
                </c:pt>
              </c:numCache>
            </c:numRef>
          </c:val>
          <c:smooth val="0"/>
          <c:extLst>
            <c:ext xmlns:c16="http://schemas.microsoft.com/office/drawing/2014/chart" uri="{C3380CC4-5D6E-409C-BE32-E72D297353CC}">
              <c16:uniqueId val="{00000002-3B56-4878-8070-34552E754B44}"/>
            </c:ext>
          </c:extLst>
        </c:ser>
        <c:dLbls>
          <c:showLegendKey val="0"/>
          <c:showVal val="0"/>
          <c:showCatName val="0"/>
          <c:showSerName val="0"/>
          <c:showPercent val="0"/>
          <c:showBubbleSize val="0"/>
        </c:dLbls>
        <c:smooth val="0"/>
        <c:axId val="456216448"/>
        <c:axId val="360458672"/>
      </c:lineChart>
      <c:dateAx>
        <c:axId val="456216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458672"/>
        <c:crosses val="autoZero"/>
        <c:auto val="1"/>
        <c:lblOffset val="100"/>
        <c:baseTimeUnit val="days"/>
      </c:dateAx>
      <c:valAx>
        <c:axId val="360458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21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'Progress View'!$G$68</c:f>
              <c:strCache>
                <c:ptCount val="1"/>
                <c:pt idx="0">
                  <c:v>Protein %</c:v>
                </c:pt>
              </c:strCache>
            </c:strRef>
          </c:tx>
          <c:spPr>
            <a:ln w="28575" cap="rnd">
              <a:solidFill>
                <a:schemeClr val="accent1"/>
              </a:solidFill>
              <a:round/>
            </a:ln>
            <a:effectLst/>
          </c:spPr>
          <c:marker>
            <c:symbol val="none"/>
          </c:marker>
          <c:cat>
            <c:numRef>
              <c:f>'Progress View'!$A$69:$A$96</c:f>
              <c:numCache>
                <c:formatCode>m/d/yyyy</c:formatCode>
                <c:ptCount val="28"/>
                <c:pt idx="0">
                  <c:v>43497</c:v>
                </c:pt>
                <c:pt idx="1">
                  <c:v>43498</c:v>
                </c:pt>
                <c:pt idx="2">
                  <c:v>43499</c:v>
                </c:pt>
                <c:pt idx="3">
                  <c:v>43500</c:v>
                </c:pt>
                <c:pt idx="4">
                  <c:v>43501</c:v>
                </c:pt>
                <c:pt idx="5">
                  <c:v>43502</c:v>
                </c:pt>
                <c:pt idx="6">
                  <c:v>43503</c:v>
                </c:pt>
                <c:pt idx="7">
                  <c:v>43504</c:v>
                </c:pt>
                <c:pt idx="8">
                  <c:v>43505</c:v>
                </c:pt>
                <c:pt idx="9">
                  <c:v>43506</c:v>
                </c:pt>
                <c:pt idx="10">
                  <c:v>43507</c:v>
                </c:pt>
                <c:pt idx="11">
                  <c:v>43508</c:v>
                </c:pt>
                <c:pt idx="12">
                  <c:v>43509</c:v>
                </c:pt>
                <c:pt idx="13">
                  <c:v>43510</c:v>
                </c:pt>
                <c:pt idx="14">
                  <c:v>43511</c:v>
                </c:pt>
                <c:pt idx="15">
                  <c:v>43512</c:v>
                </c:pt>
                <c:pt idx="16">
                  <c:v>43513</c:v>
                </c:pt>
                <c:pt idx="17">
                  <c:v>43514</c:v>
                </c:pt>
                <c:pt idx="18">
                  <c:v>43515</c:v>
                </c:pt>
                <c:pt idx="19">
                  <c:v>43516</c:v>
                </c:pt>
                <c:pt idx="20">
                  <c:v>43517</c:v>
                </c:pt>
                <c:pt idx="21">
                  <c:v>43518</c:v>
                </c:pt>
                <c:pt idx="22">
                  <c:v>43519</c:v>
                </c:pt>
                <c:pt idx="23">
                  <c:v>43520</c:v>
                </c:pt>
                <c:pt idx="24">
                  <c:v>43521</c:v>
                </c:pt>
                <c:pt idx="25">
                  <c:v>43522</c:v>
                </c:pt>
                <c:pt idx="26">
                  <c:v>43523</c:v>
                </c:pt>
                <c:pt idx="27">
                  <c:v>43524</c:v>
                </c:pt>
              </c:numCache>
            </c:numRef>
          </c:cat>
          <c:val>
            <c:numRef>
              <c:f>'Progress View'!$G$69:$G$96</c:f>
              <c:numCache>
                <c:formatCode>0.0%</c:formatCode>
                <c:ptCount val="28"/>
                <c:pt idx="0">
                  <c:v>0.89047619047619053</c:v>
                </c:pt>
                <c:pt idx="1">
                  <c:v>0.59920634920634919</c:v>
                </c:pt>
                <c:pt idx="2">
                  <c:v>0.84920634920634919</c:v>
                </c:pt>
                <c:pt idx="3">
                  <c:v>0.93622047244094497</c:v>
                </c:pt>
                <c:pt idx="4">
                  <c:v>1.3020472440944884</c:v>
                </c:pt>
                <c:pt idx="5">
                  <c:v>1.7326771653543307</c:v>
                </c:pt>
                <c:pt idx="6">
                  <c:v>1.7232283464566929</c:v>
                </c:pt>
                <c:pt idx="7">
                  <c:v>0.92677165354330715</c:v>
                </c:pt>
                <c:pt idx="8">
                  <c:v>0.51181102362204722</c:v>
                </c:pt>
                <c:pt idx="9">
                  <c:v>1.0960629921259841</c:v>
                </c:pt>
                <c:pt idx="10">
                  <c:v>1.0843750000000001</c:v>
                </c:pt>
                <c:pt idx="11">
                  <c:v>0.78093749999999995</c:v>
                </c:pt>
                <c:pt idx="12">
                  <c:v>1.1421874999999999</c:v>
                </c:pt>
                <c:pt idx="13">
                  <c:v>0.93515625000000002</c:v>
                </c:pt>
                <c:pt idx="14">
                  <c:v>0.70546874999999998</c:v>
                </c:pt>
                <c:pt idx="15">
                  <c:v>0.8203125</c:v>
                </c:pt>
                <c:pt idx="16">
                  <c:v>0.77734375</c:v>
                </c:pt>
                <c:pt idx="17">
                  <c:v>1.2141732283464566</c:v>
                </c:pt>
                <c:pt idx="18">
                  <c:v>1.2568897637795275</c:v>
                </c:pt>
                <c:pt idx="19">
                  <c:v>1.1679921259842521</c:v>
                </c:pt>
                <c:pt idx="20">
                  <c:v>1.2139763779527559</c:v>
                </c:pt>
                <c:pt idx="21">
                  <c:v>1.1748031496062992</c:v>
                </c:pt>
                <c:pt idx="22">
                  <c:v>1.1433070866141732</c:v>
                </c:pt>
                <c:pt idx="23">
                  <c:v>0.92125984251968507</c:v>
                </c:pt>
                <c:pt idx="24">
                  <c:v>1.5341085271317829</c:v>
                </c:pt>
                <c:pt idx="25">
                  <c:v>0.85116279069767442</c:v>
                </c:pt>
                <c:pt idx="26">
                  <c:v>1.1624031007751938</c:v>
                </c:pt>
                <c:pt idx="27">
                  <c:v>0.77325581395348841</c:v>
                </c:pt>
              </c:numCache>
            </c:numRef>
          </c:val>
          <c:smooth val="0"/>
          <c:extLst>
            <c:ext xmlns:c16="http://schemas.microsoft.com/office/drawing/2014/chart" uri="{C3380CC4-5D6E-409C-BE32-E72D297353CC}">
              <c16:uniqueId val="{00000000-16A9-4B74-A431-AC6A6A3E9761}"/>
            </c:ext>
          </c:extLst>
        </c:ser>
        <c:ser>
          <c:idx val="1"/>
          <c:order val="1"/>
          <c:tx>
            <c:strRef>
              <c:f>'Progress View'!$H$68</c:f>
              <c:strCache>
                <c:ptCount val="1"/>
                <c:pt idx="0">
                  <c:v>Fat %</c:v>
                </c:pt>
              </c:strCache>
            </c:strRef>
          </c:tx>
          <c:spPr>
            <a:ln w="28575" cap="rnd">
              <a:solidFill>
                <a:schemeClr val="accent2"/>
              </a:solidFill>
              <a:round/>
            </a:ln>
            <a:effectLst/>
          </c:spPr>
          <c:marker>
            <c:symbol val="none"/>
          </c:marker>
          <c:cat>
            <c:numRef>
              <c:f>'Progress View'!$A$69:$A$96</c:f>
              <c:numCache>
                <c:formatCode>m/d/yyyy</c:formatCode>
                <c:ptCount val="28"/>
                <c:pt idx="0">
                  <c:v>43497</c:v>
                </c:pt>
                <c:pt idx="1">
                  <c:v>43498</c:v>
                </c:pt>
                <c:pt idx="2">
                  <c:v>43499</c:v>
                </c:pt>
                <c:pt idx="3">
                  <c:v>43500</c:v>
                </c:pt>
                <c:pt idx="4">
                  <c:v>43501</c:v>
                </c:pt>
                <c:pt idx="5">
                  <c:v>43502</c:v>
                </c:pt>
                <c:pt idx="6">
                  <c:v>43503</c:v>
                </c:pt>
                <c:pt idx="7">
                  <c:v>43504</c:v>
                </c:pt>
                <c:pt idx="8">
                  <c:v>43505</c:v>
                </c:pt>
                <c:pt idx="9">
                  <c:v>43506</c:v>
                </c:pt>
                <c:pt idx="10">
                  <c:v>43507</c:v>
                </c:pt>
                <c:pt idx="11">
                  <c:v>43508</c:v>
                </c:pt>
                <c:pt idx="12">
                  <c:v>43509</c:v>
                </c:pt>
                <c:pt idx="13">
                  <c:v>43510</c:v>
                </c:pt>
                <c:pt idx="14">
                  <c:v>43511</c:v>
                </c:pt>
                <c:pt idx="15">
                  <c:v>43512</c:v>
                </c:pt>
                <c:pt idx="16">
                  <c:v>43513</c:v>
                </c:pt>
                <c:pt idx="17">
                  <c:v>43514</c:v>
                </c:pt>
                <c:pt idx="18">
                  <c:v>43515</c:v>
                </c:pt>
                <c:pt idx="19">
                  <c:v>43516</c:v>
                </c:pt>
                <c:pt idx="20">
                  <c:v>43517</c:v>
                </c:pt>
                <c:pt idx="21">
                  <c:v>43518</c:v>
                </c:pt>
                <c:pt idx="22">
                  <c:v>43519</c:v>
                </c:pt>
                <c:pt idx="23">
                  <c:v>43520</c:v>
                </c:pt>
                <c:pt idx="24">
                  <c:v>43521</c:v>
                </c:pt>
                <c:pt idx="25">
                  <c:v>43522</c:v>
                </c:pt>
                <c:pt idx="26">
                  <c:v>43523</c:v>
                </c:pt>
                <c:pt idx="27">
                  <c:v>43524</c:v>
                </c:pt>
              </c:numCache>
            </c:numRef>
          </c:cat>
          <c:val>
            <c:numRef>
              <c:f>'Progress View'!$H$69:$H$96</c:f>
              <c:numCache>
                <c:formatCode>0.0%</c:formatCode>
                <c:ptCount val="28"/>
                <c:pt idx="0">
                  <c:v>1.2047619047619049</c:v>
                </c:pt>
                <c:pt idx="1">
                  <c:v>0.98015873015873012</c:v>
                </c:pt>
                <c:pt idx="2">
                  <c:v>0.73809523809523814</c:v>
                </c:pt>
                <c:pt idx="3">
                  <c:v>1.2968253968253969</c:v>
                </c:pt>
                <c:pt idx="4">
                  <c:v>1.0447619047619046</c:v>
                </c:pt>
                <c:pt idx="5">
                  <c:v>1.700793650793651</c:v>
                </c:pt>
                <c:pt idx="6">
                  <c:v>1.8071428571428572</c:v>
                </c:pt>
                <c:pt idx="7">
                  <c:v>1.0999999999999999</c:v>
                </c:pt>
                <c:pt idx="8">
                  <c:v>1.1111111111111112</c:v>
                </c:pt>
                <c:pt idx="9">
                  <c:v>1.9793650793650794</c:v>
                </c:pt>
                <c:pt idx="10">
                  <c:v>1.328125</c:v>
                </c:pt>
                <c:pt idx="11">
                  <c:v>1.27</c:v>
                </c:pt>
                <c:pt idx="12">
                  <c:v>1.59296875</c:v>
                </c:pt>
                <c:pt idx="13">
                  <c:v>1.09453125</c:v>
                </c:pt>
                <c:pt idx="14">
                  <c:v>1.2406250000000001</c:v>
                </c:pt>
                <c:pt idx="15">
                  <c:v>1.453125</c:v>
                </c:pt>
                <c:pt idx="16">
                  <c:v>1.66796875</c:v>
                </c:pt>
                <c:pt idx="17">
                  <c:v>1.6234375000000001</c:v>
                </c:pt>
                <c:pt idx="18">
                  <c:v>0.81132812499999996</c:v>
                </c:pt>
                <c:pt idx="19">
                  <c:v>1.080171875</c:v>
                </c:pt>
                <c:pt idx="20">
                  <c:v>1.073140625</c:v>
                </c:pt>
                <c:pt idx="21">
                  <c:v>1.6671875</c:v>
                </c:pt>
                <c:pt idx="22">
                  <c:v>1.6671875</c:v>
                </c:pt>
                <c:pt idx="23">
                  <c:v>1.21875</c:v>
                </c:pt>
                <c:pt idx="24">
                  <c:v>0.76406249999999998</c:v>
                </c:pt>
                <c:pt idx="25">
                  <c:v>1.99140625</c:v>
                </c:pt>
                <c:pt idx="26">
                  <c:v>1.7210937500000001</c:v>
                </c:pt>
                <c:pt idx="27">
                  <c:v>1.09765625</c:v>
                </c:pt>
              </c:numCache>
            </c:numRef>
          </c:val>
          <c:smooth val="0"/>
          <c:extLst>
            <c:ext xmlns:c16="http://schemas.microsoft.com/office/drawing/2014/chart" uri="{C3380CC4-5D6E-409C-BE32-E72D297353CC}">
              <c16:uniqueId val="{00000001-16A9-4B74-A431-AC6A6A3E9761}"/>
            </c:ext>
          </c:extLst>
        </c:ser>
        <c:ser>
          <c:idx val="2"/>
          <c:order val="2"/>
          <c:tx>
            <c:strRef>
              <c:f>'Progress View'!$I$68</c:f>
              <c:strCache>
                <c:ptCount val="1"/>
                <c:pt idx="0">
                  <c:v>Carbs %</c:v>
                </c:pt>
              </c:strCache>
            </c:strRef>
          </c:tx>
          <c:spPr>
            <a:ln w="28575" cap="rnd">
              <a:solidFill>
                <a:schemeClr val="accent3"/>
              </a:solidFill>
              <a:round/>
            </a:ln>
            <a:effectLst/>
          </c:spPr>
          <c:marker>
            <c:symbol val="none"/>
          </c:marker>
          <c:cat>
            <c:numRef>
              <c:f>'Progress View'!$A$69:$A$96</c:f>
              <c:numCache>
                <c:formatCode>m/d/yyyy</c:formatCode>
                <c:ptCount val="28"/>
                <c:pt idx="0">
                  <c:v>43497</c:v>
                </c:pt>
                <c:pt idx="1">
                  <c:v>43498</c:v>
                </c:pt>
                <c:pt idx="2">
                  <c:v>43499</c:v>
                </c:pt>
                <c:pt idx="3">
                  <c:v>43500</c:v>
                </c:pt>
                <c:pt idx="4">
                  <c:v>43501</c:v>
                </c:pt>
                <c:pt idx="5">
                  <c:v>43502</c:v>
                </c:pt>
                <c:pt idx="6">
                  <c:v>43503</c:v>
                </c:pt>
                <c:pt idx="7">
                  <c:v>43504</c:v>
                </c:pt>
                <c:pt idx="8">
                  <c:v>43505</c:v>
                </c:pt>
                <c:pt idx="9">
                  <c:v>43506</c:v>
                </c:pt>
                <c:pt idx="10">
                  <c:v>43507</c:v>
                </c:pt>
                <c:pt idx="11">
                  <c:v>43508</c:v>
                </c:pt>
                <c:pt idx="12">
                  <c:v>43509</c:v>
                </c:pt>
                <c:pt idx="13">
                  <c:v>43510</c:v>
                </c:pt>
                <c:pt idx="14">
                  <c:v>43511</c:v>
                </c:pt>
                <c:pt idx="15">
                  <c:v>43512</c:v>
                </c:pt>
                <c:pt idx="16">
                  <c:v>43513</c:v>
                </c:pt>
                <c:pt idx="17">
                  <c:v>43514</c:v>
                </c:pt>
                <c:pt idx="18">
                  <c:v>43515</c:v>
                </c:pt>
                <c:pt idx="19">
                  <c:v>43516</c:v>
                </c:pt>
                <c:pt idx="20">
                  <c:v>43517</c:v>
                </c:pt>
                <c:pt idx="21">
                  <c:v>43518</c:v>
                </c:pt>
                <c:pt idx="22">
                  <c:v>43519</c:v>
                </c:pt>
                <c:pt idx="23">
                  <c:v>43520</c:v>
                </c:pt>
                <c:pt idx="24">
                  <c:v>43521</c:v>
                </c:pt>
                <c:pt idx="25">
                  <c:v>43522</c:v>
                </c:pt>
                <c:pt idx="26">
                  <c:v>43523</c:v>
                </c:pt>
                <c:pt idx="27">
                  <c:v>43524</c:v>
                </c:pt>
              </c:numCache>
            </c:numRef>
          </c:cat>
          <c:val>
            <c:numRef>
              <c:f>'Progress View'!$I$69:$I$96</c:f>
              <c:numCache>
                <c:formatCode>0.0%</c:formatCode>
                <c:ptCount val="28"/>
                <c:pt idx="0">
                  <c:v>0.58466666666666667</c:v>
                </c:pt>
                <c:pt idx="1">
                  <c:v>0.58833333333333337</c:v>
                </c:pt>
                <c:pt idx="2">
                  <c:v>0.32</c:v>
                </c:pt>
                <c:pt idx="3">
                  <c:v>0.64768211920529795</c:v>
                </c:pt>
                <c:pt idx="4">
                  <c:v>0.78013245033112577</c:v>
                </c:pt>
                <c:pt idx="5">
                  <c:v>0.90662251655629145</c:v>
                </c:pt>
                <c:pt idx="6">
                  <c:v>1.1129139072847682</c:v>
                </c:pt>
                <c:pt idx="7">
                  <c:v>0.83509933774834433</c:v>
                </c:pt>
                <c:pt idx="8">
                  <c:v>0.57284768211920534</c:v>
                </c:pt>
                <c:pt idx="9">
                  <c:v>1.1635761589403972</c:v>
                </c:pt>
                <c:pt idx="10">
                  <c:v>0.50033003300330026</c:v>
                </c:pt>
                <c:pt idx="11">
                  <c:v>0.60204620462046199</c:v>
                </c:pt>
                <c:pt idx="12">
                  <c:v>1.0854785478547855</c:v>
                </c:pt>
                <c:pt idx="13">
                  <c:v>0.73399339933993402</c:v>
                </c:pt>
                <c:pt idx="14">
                  <c:v>0.61320132013201323</c:v>
                </c:pt>
                <c:pt idx="15">
                  <c:v>0.62211221122112215</c:v>
                </c:pt>
                <c:pt idx="16">
                  <c:v>0.76732673267326734</c:v>
                </c:pt>
                <c:pt idx="17">
                  <c:v>0.62923588039867107</c:v>
                </c:pt>
                <c:pt idx="18">
                  <c:v>0.60797342192691028</c:v>
                </c:pt>
                <c:pt idx="19">
                  <c:v>0.52527574750830563</c:v>
                </c:pt>
                <c:pt idx="20">
                  <c:v>0.66447840531561464</c:v>
                </c:pt>
                <c:pt idx="21">
                  <c:v>0.56943521594684388</c:v>
                </c:pt>
                <c:pt idx="22">
                  <c:v>0.57109634551495014</c:v>
                </c:pt>
                <c:pt idx="23">
                  <c:v>0.81727574750830567</c:v>
                </c:pt>
                <c:pt idx="24">
                  <c:v>0.62368421052631573</c:v>
                </c:pt>
                <c:pt idx="25">
                  <c:v>0.76578947368421058</c:v>
                </c:pt>
                <c:pt idx="26">
                  <c:v>0.96019736842105252</c:v>
                </c:pt>
                <c:pt idx="27">
                  <c:v>0.45394736842105265</c:v>
                </c:pt>
              </c:numCache>
            </c:numRef>
          </c:val>
          <c:smooth val="0"/>
          <c:extLst>
            <c:ext xmlns:c16="http://schemas.microsoft.com/office/drawing/2014/chart" uri="{C3380CC4-5D6E-409C-BE32-E72D297353CC}">
              <c16:uniqueId val="{00000002-16A9-4B74-A431-AC6A6A3E9761}"/>
            </c:ext>
          </c:extLst>
        </c:ser>
        <c:dLbls>
          <c:showLegendKey val="0"/>
          <c:showVal val="0"/>
          <c:showCatName val="0"/>
          <c:showSerName val="0"/>
          <c:showPercent val="0"/>
          <c:showBubbleSize val="0"/>
        </c:dLbls>
        <c:smooth val="0"/>
        <c:axId val="456216448"/>
        <c:axId val="360458672"/>
      </c:lineChart>
      <c:dateAx>
        <c:axId val="456216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458672"/>
        <c:crosses val="autoZero"/>
        <c:auto val="1"/>
        <c:lblOffset val="100"/>
        <c:baseTimeUnit val="days"/>
      </c:dateAx>
      <c:valAx>
        <c:axId val="360458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21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'Progress View'!$F$4</c:f>
              <c:strCache>
                <c:ptCount val="1"/>
                <c:pt idx="0">
                  <c:v>CML %</c:v>
                </c:pt>
              </c:strCache>
            </c:strRef>
          </c:tx>
          <c:spPr>
            <a:ln w="28575" cap="rnd">
              <a:solidFill>
                <a:schemeClr val="accent1"/>
              </a:solidFill>
              <a:round/>
            </a:ln>
            <a:effectLst/>
          </c:spPr>
          <c:marker>
            <c:symbol val="none"/>
          </c:marker>
          <c:cat>
            <c:numRef>
              <c:f>'Progress View'!$A$5:$A$22</c:f>
              <c:numCache>
                <c:formatCode>m/d/yyyy</c:formatCode>
                <c:ptCount val="18"/>
                <c:pt idx="0">
                  <c:v>43479</c:v>
                </c:pt>
                <c:pt idx="1">
                  <c:v>43480</c:v>
                </c:pt>
                <c:pt idx="2">
                  <c:v>43481</c:v>
                </c:pt>
                <c:pt idx="3">
                  <c:v>43482</c:v>
                </c:pt>
                <c:pt idx="4">
                  <c:v>43483</c:v>
                </c:pt>
                <c:pt idx="5">
                  <c:v>43484</c:v>
                </c:pt>
                <c:pt idx="6">
                  <c:v>43485</c:v>
                </c:pt>
                <c:pt idx="7">
                  <c:v>43486</c:v>
                </c:pt>
                <c:pt idx="8">
                  <c:v>43487</c:v>
                </c:pt>
                <c:pt idx="9">
                  <c:v>43488</c:v>
                </c:pt>
                <c:pt idx="10">
                  <c:v>43489</c:v>
                </c:pt>
                <c:pt idx="11">
                  <c:v>43490</c:v>
                </c:pt>
                <c:pt idx="12">
                  <c:v>43491</c:v>
                </c:pt>
                <c:pt idx="13">
                  <c:v>43492</c:v>
                </c:pt>
                <c:pt idx="14">
                  <c:v>43493</c:v>
                </c:pt>
                <c:pt idx="15">
                  <c:v>43494</c:v>
                </c:pt>
                <c:pt idx="16">
                  <c:v>43495</c:v>
                </c:pt>
                <c:pt idx="17">
                  <c:v>43496</c:v>
                </c:pt>
              </c:numCache>
            </c:numRef>
          </c:cat>
          <c:val>
            <c:numRef>
              <c:f>'Progress View'!$F$5:$F$22</c:f>
              <c:numCache>
                <c:formatCode>0.0%</c:formatCode>
                <c:ptCount val="18"/>
                <c:pt idx="0">
                  <c:v>1.4545293387697216</c:v>
                </c:pt>
                <c:pt idx="1">
                  <c:v>0.48936358801630919</c:v>
                </c:pt>
                <c:pt idx="2">
                  <c:v>1.058544584293565</c:v>
                </c:pt>
                <c:pt idx="3">
                  <c:v>0.56836996986349941</c:v>
                </c:pt>
                <c:pt idx="4">
                  <c:v>0.58455947527034213</c:v>
                </c:pt>
                <c:pt idx="5">
                  <c:v>0.49534656975713526</c:v>
                </c:pt>
                <c:pt idx="6">
                  <c:v>0.44805885481297641</c:v>
                </c:pt>
                <c:pt idx="7">
                  <c:v>1.0516205782007544</c:v>
                </c:pt>
                <c:pt idx="8">
                  <c:v>1.1083789728856168</c:v>
                </c:pt>
                <c:pt idx="9">
                  <c:v>1.3512749147064105</c:v>
                </c:pt>
                <c:pt idx="10">
                  <c:v>0.71480517148500633</c:v>
                </c:pt>
                <c:pt idx="11">
                  <c:v>1.0051176153708028</c:v>
                </c:pt>
                <c:pt idx="12">
                  <c:v>1.2420093374034835</c:v>
                </c:pt>
                <c:pt idx="13">
                  <c:v>1.2709867121565812</c:v>
                </c:pt>
                <c:pt idx="14">
                  <c:v>0.85104882778071578</c:v>
                </c:pt>
                <c:pt idx="15">
                  <c:v>1.0322668781949587</c:v>
                </c:pt>
                <c:pt idx="16">
                  <c:v>0.98443283976731899</c:v>
                </c:pt>
                <c:pt idx="17">
                  <c:v>1.0632381456019742</c:v>
                </c:pt>
              </c:numCache>
            </c:numRef>
          </c:val>
          <c:smooth val="0"/>
          <c:extLst>
            <c:ext xmlns:c16="http://schemas.microsoft.com/office/drawing/2014/chart" uri="{C3380CC4-5D6E-409C-BE32-E72D297353CC}">
              <c16:uniqueId val="{00000000-909F-4F03-A839-5C8923BF6970}"/>
            </c:ext>
          </c:extLst>
        </c:ser>
        <c:dLbls>
          <c:showLegendKey val="0"/>
          <c:showVal val="0"/>
          <c:showCatName val="0"/>
          <c:showSerName val="0"/>
          <c:showPercent val="0"/>
          <c:showBubbleSize val="0"/>
        </c:dLbls>
        <c:smooth val="0"/>
        <c:axId val="456216448"/>
        <c:axId val="360458672"/>
      </c:lineChart>
      <c:dateAx>
        <c:axId val="456216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458672"/>
        <c:crosses val="autoZero"/>
        <c:auto val="1"/>
        <c:lblOffset val="100"/>
        <c:baseTimeUnit val="days"/>
      </c:dateAx>
      <c:valAx>
        <c:axId val="360458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21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'Progress View'!$F$68</c:f>
              <c:strCache>
                <c:ptCount val="1"/>
                <c:pt idx="0">
                  <c:v>CML %</c:v>
                </c:pt>
              </c:strCache>
            </c:strRef>
          </c:tx>
          <c:spPr>
            <a:ln w="28575" cap="rnd">
              <a:solidFill>
                <a:schemeClr val="accent1"/>
              </a:solidFill>
              <a:round/>
            </a:ln>
            <a:effectLst/>
          </c:spPr>
          <c:marker>
            <c:symbol val="none"/>
          </c:marker>
          <c:cat>
            <c:numRef>
              <c:f>'Progress View'!$A$69:$A$96</c:f>
              <c:numCache>
                <c:formatCode>m/d/yyyy</c:formatCode>
                <c:ptCount val="28"/>
                <c:pt idx="0">
                  <c:v>43497</c:v>
                </c:pt>
                <c:pt idx="1">
                  <c:v>43498</c:v>
                </c:pt>
                <c:pt idx="2">
                  <c:v>43499</c:v>
                </c:pt>
                <c:pt idx="3">
                  <c:v>43500</c:v>
                </c:pt>
                <c:pt idx="4">
                  <c:v>43501</c:v>
                </c:pt>
                <c:pt idx="5">
                  <c:v>43502</c:v>
                </c:pt>
                <c:pt idx="6">
                  <c:v>43503</c:v>
                </c:pt>
                <c:pt idx="7">
                  <c:v>43504</c:v>
                </c:pt>
                <c:pt idx="8">
                  <c:v>43505</c:v>
                </c:pt>
                <c:pt idx="9">
                  <c:v>43506</c:v>
                </c:pt>
                <c:pt idx="10">
                  <c:v>43507</c:v>
                </c:pt>
                <c:pt idx="11">
                  <c:v>43508</c:v>
                </c:pt>
                <c:pt idx="12">
                  <c:v>43509</c:v>
                </c:pt>
                <c:pt idx="13">
                  <c:v>43510</c:v>
                </c:pt>
                <c:pt idx="14">
                  <c:v>43511</c:v>
                </c:pt>
                <c:pt idx="15">
                  <c:v>43512</c:v>
                </c:pt>
                <c:pt idx="16">
                  <c:v>43513</c:v>
                </c:pt>
                <c:pt idx="17">
                  <c:v>43514</c:v>
                </c:pt>
                <c:pt idx="18">
                  <c:v>43515</c:v>
                </c:pt>
                <c:pt idx="19">
                  <c:v>43516</c:v>
                </c:pt>
                <c:pt idx="20">
                  <c:v>43517</c:v>
                </c:pt>
                <c:pt idx="21">
                  <c:v>43518</c:v>
                </c:pt>
                <c:pt idx="22">
                  <c:v>43519</c:v>
                </c:pt>
                <c:pt idx="23">
                  <c:v>43520</c:v>
                </c:pt>
                <c:pt idx="24">
                  <c:v>43521</c:v>
                </c:pt>
                <c:pt idx="25">
                  <c:v>43522</c:v>
                </c:pt>
                <c:pt idx="26">
                  <c:v>43523</c:v>
                </c:pt>
                <c:pt idx="27">
                  <c:v>43524</c:v>
                </c:pt>
              </c:numCache>
            </c:numRef>
          </c:cat>
          <c:val>
            <c:numRef>
              <c:f>'Progress View'!$F$69:$F$96</c:f>
              <c:numCache>
                <c:formatCode>0.0%</c:formatCode>
                <c:ptCount val="28"/>
                <c:pt idx="0">
                  <c:v>0.80799400669839594</c:v>
                </c:pt>
                <c:pt idx="1">
                  <c:v>0.68911951348492861</c:v>
                </c:pt>
                <c:pt idx="2">
                  <c:v>0.54226158998766094</c:v>
                </c:pt>
                <c:pt idx="3">
                  <c:v>0.87348816827344433</c:v>
                </c:pt>
                <c:pt idx="4">
                  <c:v>0.96241016652059586</c:v>
                </c:pt>
                <c:pt idx="5">
                  <c:v>1.288234005258545</c:v>
                </c:pt>
                <c:pt idx="6">
                  <c:v>1.4217572304995616</c:v>
                </c:pt>
                <c:pt idx="7">
                  <c:v>0.92169149868536382</c:v>
                </c:pt>
                <c:pt idx="8">
                  <c:v>0.69325153374233128</c:v>
                </c:pt>
                <c:pt idx="9">
                  <c:v>1.3517528483786152</c:v>
                </c:pt>
                <c:pt idx="10">
                  <c:v>0.8383812010443864</c:v>
                </c:pt>
                <c:pt idx="11">
                  <c:v>0.80985204525674503</c:v>
                </c:pt>
                <c:pt idx="12">
                  <c:v>1.2262619669277632</c:v>
                </c:pt>
                <c:pt idx="13">
                  <c:v>0.86982158398607479</c:v>
                </c:pt>
                <c:pt idx="14">
                  <c:v>0.79155787641427333</c:v>
                </c:pt>
                <c:pt idx="15">
                  <c:v>0.87510879025239341</c:v>
                </c:pt>
                <c:pt idx="16">
                  <c:v>0.99597476066144475</c:v>
                </c:pt>
                <c:pt idx="17">
                  <c:v>1.0092204160111868</c:v>
                </c:pt>
                <c:pt idx="18">
                  <c:v>0.8031047893724873</c:v>
                </c:pt>
                <c:pt idx="19">
                  <c:v>0.80752971508477533</c:v>
                </c:pt>
                <c:pt idx="20">
                  <c:v>0.88920686942842164</c:v>
                </c:pt>
                <c:pt idx="21">
                  <c:v>0.98002971508477532</c:v>
                </c:pt>
                <c:pt idx="22">
                  <c:v>0.97391190351337165</c:v>
                </c:pt>
                <c:pt idx="23">
                  <c:v>0.94126900891452536</c:v>
                </c:pt>
                <c:pt idx="24">
                  <c:v>0.86241116311319121</c:v>
                </c:pt>
                <c:pt idx="25">
                  <c:v>1.0909386375455017</c:v>
                </c:pt>
                <c:pt idx="26">
                  <c:v>1.1955061535794766</c:v>
                </c:pt>
                <c:pt idx="27">
                  <c:v>0.68610244409776389</c:v>
                </c:pt>
              </c:numCache>
            </c:numRef>
          </c:val>
          <c:smooth val="0"/>
          <c:extLst>
            <c:ext xmlns:c16="http://schemas.microsoft.com/office/drawing/2014/chart" uri="{C3380CC4-5D6E-409C-BE32-E72D297353CC}">
              <c16:uniqueId val="{00000000-37F1-4C6E-9528-695EDF19673F}"/>
            </c:ext>
          </c:extLst>
        </c:ser>
        <c:dLbls>
          <c:showLegendKey val="0"/>
          <c:showVal val="0"/>
          <c:showCatName val="0"/>
          <c:showSerName val="0"/>
          <c:showPercent val="0"/>
          <c:showBubbleSize val="0"/>
        </c:dLbls>
        <c:smooth val="0"/>
        <c:axId val="456216448"/>
        <c:axId val="360458672"/>
      </c:lineChart>
      <c:dateAx>
        <c:axId val="456216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458672"/>
        <c:crosses val="autoZero"/>
        <c:auto val="1"/>
        <c:lblOffset val="100"/>
        <c:baseTimeUnit val="days"/>
      </c:dateAx>
      <c:valAx>
        <c:axId val="360458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21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23</xdr:row>
      <xdr:rowOff>4762</xdr:rowOff>
    </xdr:from>
    <xdr:to>
      <xdr:col>9</xdr:col>
      <xdr:colOff>9525</xdr:colOff>
      <xdr:row>62</xdr:row>
      <xdr:rowOff>39052</xdr:rowOff>
    </xdr:to>
    <xdr:graphicFrame macro="">
      <xdr:nvGraphicFramePr>
        <xdr:cNvPr id="11" name="Chart 10">
          <a:extLst>
            <a:ext uri="{FF2B5EF4-FFF2-40B4-BE49-F238E27FC236}">
              <a16:creationId xmlns:a16="http://schemas.microsoft.com/office/drawing/2014/main" id="{42E3FA71-0EA3-4D49-B339-4274190560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97</xdr:row>
      <xdr:rowOff>0</xdr:rowOff>
    </xdr:from>
    <xdr:to>
      <xdr:col>9</xdr:col>
      <xdr:colOff>9525</xdr:colOff>
      <xdr:row>137</xdr:row>
      <xdr:rowOff>34290</xdr:rowOff>
    </xdr:to>
    <xdr:graphicFrame macro="">
      <xdr:nvGraphicFramePr>
        <xdr:cNvPr id="3" name="Chart 2">
          <a:extLst>
            <a:ext uri="{FF2B5EF4-FFF2-40B4-BE49-F238E27FC236}">
              <a16:creationId xmlns:a16="http://schemas.microsoft.com/office/drawing/2014/main" id="{A9A5A61E-2E70-4F92-B0B7-18DF33875C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23</xdr:row>
      <xdr:rowOff>0</xdr:rowOff>
    </xdr:from>
    <xdr:to>
      <xdr:col>33</xdr:col>
      <xdr:colOff>247650</xdr:colOff>
      <xdr:row>62</xdr:row>
      <xdr:rowOff>34290</xdr:rowOff>
    </xdr:to>
    <xdr:graphicFrame macro="">
      <xdr:nvGraphicFramePr>
        <xdr:cNvPr id="4" name="Chart 3">
          <a:extLst>
            <a:ext uri="{FF2B5EF4-FFF2-40B4-BE49-F238E27FC236}">
              <a16:creationId xmlns:a16="http://schemas.microsoft.com/office/drawing/2014/main" id="{E1A0498B-583F-4ADD-9E4B-096AAA9717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97</xdr:row>
      <xdr:rowOff>0</xdr:rowOff>
    </xdr:from>
    <xdr:to>
      <xdr:col>33</xdr:col>
      <xdr:colOff>247650</xdr:colOff>
      <xdr:row>137</xdr:row>
      <xdr:rowOff>34290</xdr:rowOff>
    </xdr:to>
    <xdr:graphicFrame macro="">
      <xdr:nvGraphicFramePr>
        <xdr:cNvPr id="5" name="Chart 4">
          <a:extLst>
            <a:ext uri="{FF2B5EF4-FFF2-40B4-BE49-F238E27FC236}">
              <a16:creationId xmlns:a16="http://schemas.microsoft.com/office/drawing/2014/main" id="{6B246E30-4D8E-4FE4-80F5-DAE2335FE1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B9F417D-1E7C-4575-B147-776D44A8E1F3}" name="OverviewTable" displayName="OverviewTable" ref="A2:N22" totalsRowShown="0" headerRowDxfId="51" dataDxfId="49" headerRowBorderDxfId="50" headerRowCellStyle="Heading 2">
  <tableColumns count="14">
    <tableColumn id="1" xr3:uid="{F762F477-7C82-453E-9C11-797DC1F62225}" name="Week" dataDxfId="48"/>
    <tableColumn id="2" xr3:uid="{FDB839DB-4CC3-419D-BCDB-877BE667B9E7}" name="Weight (lbs)" dataDxfId="47"/>
    <tableColumn id="3" xr3:uid="{6EDA1D83-266D-4C26-88B0-456AF490DBC0}" name="Body Fat (%)" dataDxfId="46"/>
    <tableColumn id="4" xr3:uid="{F6A1943E-DF9C-4E9A-9505-0FE19935E65A}" name="Total Body Water (%)" dataDxfId="45"/>
    <tableColumn id="5" xr3:uid="{55FA2963-B106-4CAD-97F9-D6DB468E63AF}" name="Muscle Mass (%)" dataDxfId="44"/>
    <tableColumn id="6" xr3:uid="{D97278E5-0718-434A-9FD2-A0085256725C}" name="Bone Mass (%)" dataDxfId="43"/>
    <tableColumn id="7" xr3:uid="{B7FBA703-4239-4DE2-A7E7-350005B5E31C}" name="BMI" dataDxfId="42"/>
    <tableColumn id="8" xr3:uid="{860501F3-3AEF-4330-B28A-40038B97F94F}" name="Placeholder" dataDxfId="41"/>
    <tableColumn id="9" xr3:uid="{85AD977C-5766-462B-B406-E0A07BA67147}" name="CML Range (cal)" dataDxfId="40"/>
    <tableColumn id="10" xr3:uid="{615D668A-243B-4449-9533-46F38582E0BA}" name="CML Regular(cal)" dataDxfId="39"/>
    <tableColumn id="11" xr3:uid="{3E398B99-609C-44D5-BAFB-87CF116A098C}" name="CML Surplus (cal)" dataDxfId="38"/>
    <tableColumn id="12" xr3:uid="{6CAB208A-365E-46D4-A5BC-29C63D7A6499}" name="Protein Req. (g)" dataDxfId="37"/>
    <tableColumn id="13" xr3:uid="{BD6C0160-06DC-415A-9BD4-E78F58A2A5A9}" name="Fat Req. (g)" dataDxfId="36"/>
    <tableColumn id="14" xr3:uid="{A4947268-6CE1-4731-BC1E-2397B33337C7}" name="Carbs Req. (g)" dataDxfId="35"/>
  </tableColumns>
  <tableStyleInfo name="TableStyleDark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87303B-BA30-4105-AAA1-AFE1B72BEDA8}" name="BreakfastTable" displayName="BreakfastTable" ref="A3:D22" totalsRowShown="0" headerRowDxfId="34" dataDxfId="32" headerRowBorderDxfId="33" tableBorderDxfId="31" headerRowCellStyle="Heading 2">
  <autoFilter ref="A3:D22" xr:uid="{0D1C6F01-BB5B-4BA1-9B19-D925F278939C}">
    <filterColumn colId="0" hiddenButton="1"/>
    <filterColumn colId="1" hiddenButton="1"/>
    <filterColumn colId="2" hiddenButton="1"/>
    <filterColumn colId="3" hiddenButton="1"/>
  </autoFilter>
  <sortState xmlns:xlrd2="http://schemas.microsoft.com/office/spreadsheetml/2017/richdata2" ref="A4:D7">
    <sortCondition ref="A3:A7"/>
  </sortState>
  <tableColumns count="4">
    <tableColumn id="1" xr3:uid="{2979F230-99CE-4E90-AB12-F28B281FFE4D}" name="Meal" dataDxfId="30"/>
    <tableColumn id="2" xr3:uid="{C834B809-D310-4EE7-A0A7-0962DB2BF0C9}" name="Protein (g)" dataDxfId="29"/>
    <tableColumn id="3" xr3:uid="{98F6384E-AA8E-43E4-9042-9794535DE359}" name="Fat (g)" dataDxfId="28"/>
    <tableColumn id="4" xr3:uid="{84C65312-5411-465C-8055-7D64D1DDECBE}" name="Carbs (g)" dataDxfId="27"/>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A09A3F8-E863-4332-B806-64D4996CD19E}" name="LunchTable" displayName="LunchTable" ref="F3:I30" totalsRowShown="0" dataDxfId="25" headerRowBorderDxfId="26">
  <autoFilter ref="F3:I30" xr:uid="{01C217CF-C435-4EA8-AAAC-9DC680D82396}">
    <filterColumn colId="0" hiddenButton="1"/>
    <filterColumn colId="1" hiddenButton="1"/>
    <filterColumn colId="2" hiddenButton="1"/>
    <filterColumn colId="3" hiddenButton="1"/>
  </autoFilter>
  <sortState xmlns:xlrd2="http://schemas.microsoft.com/office/spreadsheetml/2017/richdata2" ref="F4:I22">
    <sortCondition ref="F3:F22"/>
  </sortState>
  <tableColumns count="4">
    <tableColumn id="1" xr3:uid="{62A2DF3D-CAD4-46BC-8B58-277E00F0E097}" name="Meal" dataDxfId="24"/>
    <tableColumn id="2" xr3:uid="{12851A93-3DF2-4F7E-B99E-AE145D80793D}" name="Protein (g)" dataDxfId="23"/>
    <tableColumn id="3" xr3:uid="{F0E7F030-A7BE-4EC6-9C05-08DC72EF601B}" name="Fat (g)" dataDxfId="22"/>
    <tableColumn id="4" xr3:uid="{4C92D970-4D51-482A-9C8E-F00DB2374198}" name="Carbs (g)" dataDxfId="21"/>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CBA5C7-1CFA-4FEF-91D3-8F7577522F01}" name="DinnerTable" displayName="DinnerTable" ref="K3:N32" totalsRowShown="0" dataDxfId="19" headerRowBorderDxfId="20">
  <autoFilter ref="K3:N32" xr:uid="{C180AEBE-1551-4CEB-BAAB-321B034FD40C}">
    <filterColumn colId="0" hiddenButton="1"/>
    <filterColumn colId="1" hiddenButton="1"/>
    <filterColumn colId="2" hiddenButton="1"/>
    <filterColumn colId="3" hiddenButton="1"/>
  </autoFilter>
  <sortState xmlns:xlrd2="http://schemas.microsoft.com/office/spreadsheetml/2017/richdata2" ref="K4:N23">
    <sortCondition ref="K3:K23"/>
  </sortState>
  <tableColumns count="4">
    <tableColumn id="1" xr3:uid="{A3E504B7-C68E-44EC-8F1B-EB44A927AE26}" name="Meal" dataDxfId="18"/>
    <tableColumn id="2" xr3:uid="{00AE0407-A557-4665-9C1C-0B8DE48F713B}" name="Protein (g)" dataDxfId="17"/>
    <tableColumn id="3" xr3:uid="{F8726457-F778-4FE2-904F-7CB2BC6DC678}" name="Fat (g)" dataDxfId="16"/>
    <tableColumn id="4" xr3:uid="{F5671C73-E2EB-41F7-9B3A-5A9C4C2ADA63}" name="Carbs (g)" dataDxfId="15"/>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73B41C0-53A2-42C1-9545-9C4401F1B845}" name="PostWorkoutTable" displayName="PostWorkoutTable" ref="P3:S11" totalsRowShown="0" dataDxfId="13" headerRowBorderDxfId="14">
  <autoFilter ref="P3:S11" xr:uid="{3C93E30F-5F85-4B43-9683-47F5B0698D8F}">
    <filterColumn colId="0" hiddenButton="1"/>
    <filterColumn colId="1" hiddenButton="1"/>
    <filterColumn colId="2" hiddenButton="1"/>
    <filterColumn colId="3" hiddenButton="1"/>
  </autoFilter>
  <sortState xmlns:xlrd2="http://schemas.microsoft.com/office/spreadsheetml/2017/richdata2" ref="P4:S8">
    <sortCondition ref="P3:P8"/>
  </sortState>
  <tableColumns count="4">
    <tableColumn id="1" xr3:uid="{CD8C85A7-E4C5-47FA-A080-AFA0FB956B72}" name="Meal" dataDxfId="12"/>
    <tableColumn id="2" xr3:uid="{003A9AE3-2061-49E9-8887-C0B8EB3B2161}" name="Protein (g)" dataDxfId="11"/>
    <tableColumn id="3" xr3:uid="{0799B3C9-191B-4C91-9C7A-E284FBE0791B}" name="Fat (g)" dataDxfId="10"/>
    <tableColumn id="4" xr3:uid="{FD2574F9-C9A4-4CA2-A238-6035707C875E}" name="Carbs (g)" dataDxfId="9"/>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61FD2D-F7D9-4D2D-9225-03F75DA4632E}" name="AmountTable" displayName="AmountTable" ref="U3:U13" totalsRowShown="0" dataDxfId="7" headerRowBorderDxfId="8">
  <autoFilter ref="U3:U13" xr:uid="{EF512283-E4F3-423D-AE8F-F814450FAF42}">
    <filterColumn colId="0" hiddenButton="1"/>
  </autoFilter>
  <sortState xmlns:xlrd2="http://schemas.microsoft.com/office/spreadsheetml/2017/richdata2" ref="U4:U11">
    <sortCondition ref="U3:U11"/>
  </sortState>
  <tableColumns count="1">
    <tableColumn id="1" xr3:uid="{54C0B5D3-53BB-4635-BEB7-EA66305EF972}" name="Amount" dataDxfId="6"/>
  </tableColumns>
  <tableStyleInfo name="TableStyleLight2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F20BF3-0F4B-44F8-97ED-AEA9B404A349}" name="SmoothieTable" displayName="SmoothieTable" ref="W3:Z12" totalsRowShown="0" dataDxfId="4" headerRowBorderDxfId="5">
  <autoFilter ref="W3:Z12" xr:uid="{0BD6ACCD-5649-4DE0-B971-DACB0B56CA9D}">
    <filterColumn colId="0" hiddenButton="1"/>
    <filterColumn colId="1" hiddenButton="1"/>
    <filterColumn colId="2" hiddenButton="1"/>
    <filterColumn colId="3" hiddenButton="1"/>
  </autoFilter>
  <sortState xmlns:xlrd2="http://schemas.microsoft.com/office/spreadsheetml/2017/richdata2" ref="W3:Z4">
    <sortCondition ref="W3"/>
  </sortState>
  <tableColumns count="4">
    <tableColumn id="1" xr3:uid="{F22EE5B4-4168-435E-88E3-44D4F28B0C24}" name="Ingredient" dataDxfId="3"/>
    <tableColumn id="2" xr3:uid="{B9859570-F143-4EB8-B415-58BE16C7EA23}" name="Protein (g)" dataDxfId="2"/>
    <tableColumn id="3" xr3:uid="{2BD100E9-09C0-4B3D-A04A-6E80BBABBCD4}" name="Fat (g)" dataDxfId="1"/>
    <tableColumn id="4" xr3:uid="{B00840C2-CCD7-41F8-BEFD-DB0AA4999FC2}" name="Carbs (g)" dataDxfId="0"/>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441DA-78B4-4F49-BD4F-8D9DA5915EA0}">
  <sheetPr codeName="Sheet1"/>
  <dimension ref="A1:N52"/>
  <sheetViews>
    <sheetView workbookViewId="0">
      <selection activeCell="B27" sqref="B27"/>
    </sheetView>
  </sheetViews>
  <sheetFormatPr defaultRowHeight="15" x14ac:dyDescent="0.25"/>
  <cols>
    <col min="1" max="1" width="11.5703125" customWidth="1"/>
    <col min="2" max="2" width="15.85546875" customWidth="1"/>
    <col min="3" max="3" width="16.42578125" customWidth="1"/>
    <col min="4" max="4" width="24.42578125" customWidth="1"/>
    <col min="5" max="5" width="20" customWidth="1"/>
    <col min="6" max="6" width="18.42578125" customWidth="1"/>
    <col min="7" max="7" width="9.140625" customWidth="1"/>
    <col min="8" max="8" width="18" customWidth="1"/>
    <col min="9" max="9" width="19.140625" customWidth="1"/>
    <col min="10" max="10" width="20" customWidth="1"/>
    <col min="11" max="11" width="21.85546875" customWidth="1"/>
    <col min="12" max="12" width="19.28515625" customWidth="1"/>
    <col min="13" max="13" width="17" customWidth="1"/>
    <col min="14" max="14" width="19" customWidth="1"/>
  </cols>
  <sheetData>
    <row r="1" spans="1:14" ht="23.25" x14ac:dyDescent="0.35">
      <c r="A1" s="6" t="s">
        <v>3</v>
      </c>
    </row>
    <row r="2" spans="1:14" ht="18" thickBot="1" x14ac:dyDescent="0.35">
      <c r="A2" s="3" t="s">
        <v>48</v>
      </c>
      <c r="B2" s="3" t="s">
        <v>0</v>
      </c>
      <c r="C2" s="3" t="s">
        <v>13</v>
      </c>
      <c r="D2" s="3" t="s">
        <v>14</v>
      </c>
      <c r="E2" s="3" t="s">
        <v>15</v>
      </c>
      <c r="F2" s="3" t="s">
        <v>16</v>
      </c>
      <c r="G2" s="3" t="s">
        <v>17</v>
      </c>
      <c r="H2" s="3" t="s">
        <v>116</v>
      </c>
      <c r="I2" s="3" t="s">
        <v>1</v>
      </c>
      <c r="J2" s="3" t="s">
        <v>37</v>
      </c>
      <c r="K2" s="3" t="s">
        <v>2</v>
      </c>
      <c r="L2" s="3" t="s">
        <v>18</v>
      </c>
      <c r="M2" s="5" t="s">
        <v>19</v>
      </c>
      <c r="N2" s="5" t="s">
        <v>20</v>
      </c>
    </row>
    <row r="3" spans="1:14" ht="15.75" thickTop="1" x14ac:dyDescent="0.25">
      <c r="A3" s="4">
        <v>43479</v>
      </c>
      <c r="B3" s="2">
        <v>125.4</v>
      </c>
      <c r="C3" s="2">
        <v>10.199999999999999</v>
      </c>
      <c r="D3" s="2">
        <v>65.7</v>
      </c>
      <c r="E3" s="2">
        <v>46.7</v>
      </c>
      <c r="F3" s="2">
        <v>5.0999999999999996</v>
      </c>
      <c r="G3" s="2">
        <v>19.7</v>
      </c>
      <c r="H3" s="2"/>
      <c r="I3" s="2" t="str">
        <f t="shared" ref="I3:I25" si="0">IF(B3&lt;&gt;0,B3*14&amp;" - "&amp;B3*18,"")</f>
        <v>1755.6 - 2257.2</v>
      </c>
      <c r="J3" s="2">
        <f t="shared" ref="J3:J25" si="1">IF(B3&lt;&gt;0,B3*16,"")</f>
        <v>2006.4</v>
      </c>
      <c r="K3" s="2">
        <f t="shared" ref="K3:K25" si="2">IF(B3&lt;&gt;0,J3+250,"")</f>
        <v>2256.4</v>
      </c>
      <c r="L3" s="2">
        <f t="shared" ref="L3:L25" si="3">IF(B3&lt;&gt;0,ROUND(B3, 0),"")</f>
        <v>125</v>
      </c>
      <c r="M3" s="2">
        <f t="shared" ref="M3:M25" si="4">IF(B3&lt;&gt;0,ROUND( K3/36, 0),"")</f>
        <v>63</v>
      </c>
      <c r="N3" s="2">
        <f t="shared" ref="N3:N25" si="5">IF(B3&lt;&gt;0,ROUND( (K3-(L3*4)-(M3*9))/4, 0),"")</f>
        <v>297</v>
      </c>
    </row>
    <row r="4" spans="1:14" x14ac:dyDescent="0.25">
      <c r="A4" s="4">
        <v>43486</v>
      </c>
      <c r="B4" s="2">
        <v>123.6</v>
      </c>
      <c r="C4" s="2">
        <v>9.6999999999999993</v>
      </c>
      <c r="D4" s="2">
        <v>66.099999999999994</v>
      </c>
      <c r="E4" s="2">
        <v>47</v>
      </c>
      <c r="F4" s="2">
        <v>5.0999999999999996</v>
      </c>
      <c r="G4" s="2">
        <v>19.399999999999999</v>
      </c>
      <c r="H4" s="2"/>
      <c r="I4" s="2" t="str">
        <f t="shared" si="0"/>
        <v>1730.4 - 2224.8</v>
      </c>
      <c r="J4" s="2">
        <f t="shared" si="1"/>
        <v>1977.6</v>
      </c>
      <c r="K4" s="2">
        <f t="shared" si="2"/>
        <v>2227.6</v>
      </c>
      <c r="L4" s="2">
        <f t="shared" si="3"/>
        <v>124</v>
      </c>
      <c r="M4" s="2">
        <f t="shared" si="4"/>
        <v>62</v>
      </c>
      <c r="N4" s="2">
        <f t="shared" si="5"/>
        <v>293</v>
      </c>
    </row>
    <row r="5" spans="1:14" x14ac:dyDescent="0.25">
      <c r="A5" s="4">
        <v>43493</v>
      </c>
      <c r="B5" s="2">
        <v>126.2</v>
      </c>
      <c r="C5" s="2">
        <v>10.3</v>
      </c>
      <c r="D5" s="2">
        <v>65.7</v>
      </c>
      <c r="E5" s="2">
        <v>46.6</v>
      </c>
      <c r="F5" s="2">
        <v>5.0999999999999996</v>
      </c>
      <c r="G5" s="2">
        <v>19.8</v>
      </c>
      <c r="H5" s="2"/>
      <c r="I5" s="2" t="str">
        <f t="shared" si="0"/>
        <v>1766.8 - 2271.6</v>
      </c>
      <c r="J5" s="2">
        <f t="shared" si="1"/>
        <v>2019.2</v>
      </c>
      <c r="K5" s="2">
        <f t="shared" si="2"/>
        <v>2269.1999999999998</v>
      </c>
      <c r="L5" s="2">
        <f t="shared" si="3"/>
        <v>126</v>
      </c>
      <c r="M5" s="2">
        <f t="shared" si="4"/>
        <v>63</v>
      </c>
      <c r="N5" s="2">
        <f t="shared" si="5"/>
        <v>300</v>
      </c>
    </row>
    <row r="6" spans="1:14" x14ac:dyDescent="0.25">
      <c r="A6" s="4">
        <v>43500</v>
      </c>
      <c r="B6" s="2">
        <v>127</v>
      </c>
      <c r="C6" s="2">
        <v>10.4</v>
      </c>
      <c r="D6" s="2">
        <v>65.599999999999994</v>
      </c>
      <c r="E6" s="2">
        <v>46.6</v>
      </c>
      <c r="F6" s="2">
        <v>5.0999999999999996</v>
      </c>
      <c r="G6" s="2">
        <v>19.899999999999999</v>
      </c>
      <c r="H6" s="2"/>
      <c r="I6" s="2" t="str">
        <f t="shared" si="0"/>
        <v>1778 - 2286</v>
      </c>
      <c r="J6" s="2">
        <f t="shared" si="1"/>
        <v>2032</v>
      </c>
      <c r="K6" s="2">
        <f t="shared" si="2"/>
        <v>2282</v>
      </c>
      <c r="L6" s="2">
        <f t="shared" si="3"/>
        <v>127</v>
      </c>
      <c r="M6" s="2">
        <f t="shared" si="4"/>
        <v>63</v>
      </c>
      <c r="N6" s="2">
        <f t="shared" si="5"/>
        <v>302</v>
      </c>
    </row>
    <row r="7" spans="1:14" x14ac:dyDescent="0.25">
      <c r="A7" s="4">
        <v>43507</v>
      </c>
      <c r="B7" s="2">
        <v>128</v>
      </c>
      <c r="C7" s="2">
        <v>10.7</v>
      </c>
      <c r="D7" s="2">
        <v>65.400000000000006</v>
      </c>
      <c r="E7" s="2">
        <v>46.4</v>
      </c>
      <c r="F7" s="2">
        <v>5.0999999999999996</v>
      </c>
      <c r="G7" s="2">
        <v>20.100000000000001</v>
      </c>
      <c r="H7" s="2"/>
      <c r="I7" s="2" t="str">
        <f t="shared" si="0"/>
        <v>1792 - 2304</v>
      </c>
      <c r="J7" s="2">
        <f t="shared" si="1"/>
        <v>2048</v>
      </c>
      <c r="K7" s="2">
        <f t="shared" si="2"/>
        <v>2298</v>
      </c>
      <c r="L7" s="2">
        <f t="shared" si="3"/>
        <v>128</v>
      </c>
      <c r="M7" s="2">
        <f t="shared" si="4"/>
        <v>64</v>
      </c>
      <c r="N7" s="2">
        <f t="shared" si="5"/>
        <v>303</v>
      </c>
    </row>
    <row r="8" spans="1:14" x14ac:dyDescent="0.25">
      <c r="A8" s="4">
        <v>43514</v>
      </c>
      <c r="B8" s="2">
        <v>127.4</v>
      </c>
      <c r="C8" s="2">
        <v>10.6</v>
      </c>
      <c r="D8" s="2">
        <v>65.400000000000006</v>
      </c>
      <c r="E8" s="2">
        <v>46.1</v>
      </c>
      <c r="F8" s="2">
        <v>5.0999999999999996</v>
      </c>
      <c r="G8" s="2">
        <v>20</v>
      </c>
      <c r="H8" s="2"/>
      <c r="I8" s="2" t="str">
        <f t="shared" si="0"/>
        <v>1783.6 - 2293.2</v>
      </c>
      <c r="J8" s="2">
        <f t="shared" si="1"/>
        <v>2038.4</v>
      </c>
      <c r="K8" s="2">
        <f t="shared" si="2"/>
        <v>2288.4</v>
      </c>
      <c r="L8" s="2">
        <f t="shared" si="3"/>
        <v>127</v>
      </c>
      <c r="M8" s="2">
        <f t="shared" si="4"/>
        <v>64</v>
      </c>
      <c r="N8" s="2">
        <f t="shared" si="5"/>
        <v>301</v>
      </c>
    </row>
    <row r="9" spans="1:14" x14ac:dyDescent="0.25">
      <c r="A9" s="4">
        <v>43521</v>
      </c>
      <c r="B9" s="2">
        <v>128.6</v>
      </c>
      <c r="C9" s="2">
        <v>10.8</v>
      </c>
      <c r="D9" s="2">
        <v>65.3</v>
      </c>
      <c r="E9" s="2">
        <v>46.4</v>
      </c>
      <c r="F9" s="2">
        <v>5</v>
      </c>
      <c r="G9" s="2">
        <v>20.2</v>
      </c>
      <c r="H9" s="2"/>
      <c r="I9" s="2" t="str">
        <f t="shared" si="0"/>
        <v>1800.4 - 2314.8</v>
      </c>
      <c r="J9" s="2">
        <f t="shared" si="1"/>
        <v>2057.6</v>
      </c>
      <c r="K9" s="2">
        <f t="shared" si="2"/>
        <v>2307.6</v>
      </c>
      <c r="L9" s="2">
        <f t="shared" si="3"/>
        <v>129</v>
      </c>
      <c r="M9" s="2">
        <f t="shared" si="4"/>
        <v>64</v>
      </c>
      <c r="N9" s="2">
        <f t="shared" si="5"/>
        <v>304</v>
      </c>
    </row>
    <row r="10" spans="1:14" x14ac:dyDescent="0.25">
      <c r="A10" s="4">
        <v>43528</v>
      </c>
      <c r="B10" s="2">
        <v>128.6</v>
      </c>
      <c r="C10" s="2">
        <v>10.9</v>
      </c>
      <c r="D10" s="2">
        <v>65.2</v>
      </c>
      <c r="E10" s="2">
        <v>46.3</v>
      </c>
      <c r="F10" s="2">
        <v>5</v>
      </c>
      <c r="G10" s="2">
        <v>20.2</v>
      </c>
      <c r="H10" s="2"/>
      <c r="I10" s="2" t="str">
        <f t="shared" si="0"/>
        <v>1800.4 - 2314.8</v>
      </c>
      <c r="J10" s="2">
        <f t="shared" si="1"/>
        <v>2057.6</v>
      </c>
      <c r="K10" s="2">
        <f t="shared" si="2"/>
        <v>2307.6</v>
      </c>
      <c r="L10" s="2">
        <f t="shared" si="3"/>
        <v>129</v>
      </c>
      <c r="M10" s="2">
        <f t="shared" si="4"/>
        <v>64</v>
      </c>
      <c r="N10" s="2">
        <f t="shared" si="5"/>
        <v>304</v>
      </c>
    </row>
    <row r="11" spans="1:14" x14ac:dyDescent="0.25">
      <c r="A11" s="4">
        <v>43535</v>
      </c>
      <c r="B11" s="2">
        <v>129.4</v>
      </c>
      <c r="C11" s="2">
        <v>11</v>
      </c>
      <c r="D11" s="2">
        <v>65.099999999999994</v>
      </c>
      <c r="E11" s="2">
        <v>46.3</v>
      </c>
      <c r="F11" s="2">
        <v>5</v>
      </c>
      <c r="G11" s="2">
        <v>20.3</v>
      </c>
      <c r="H11" s="2"/>
      <c r="I11" s="2" t="str">
        <f t="shared" si="0"/>
        <v>1811.6 - 2329.2</v>
      </c>
      <c r="J11" s="2">
        <f t="shared" si="1"/>
        <v>2070.4</v>
      </c>
      <c r="K11" s="2">
        <f t="shared" si="2"/>
        <v>2320.4</v>
      </c>
      <c r="L11" s="2">
        <f t="shared" si="3"/>
        <v>129</v>
      </c>
      <c r="M11" s="2">
        <f t="shared" si="4"/>
        <v>64</v>
      </c>
      <c r="N11" s="2">
        <f t="shared" si="5"/>
        <v>307</v>
      </c>
    </row>
    <row r="12" spans="1:14" x14ac:dyDescent="0.25">
      <c r="A12" s="4">
        <v>43542</v>
      </c>
      <c r="B12" s="2">
        <v>128.80000000000001</v>
      </c>
      <c r="C12" s="2">
        <v>10.8</v>
      </c>
      <c r="D12" s="2">
        <v>65.3</v>
      </c>
      <c r="E12" s="2">
        <v>46.4</v>
      </c>
      <c r="F12" s="2">
        <v>5</v>
      </c>
      <c r="G12" s="2">
        <v>20.2</v>
      </c>
      <c r="H12" s="2"/>
      <c r="I12" s="2" t="str">
        <f t="shared" si="0"/>
        <v>1803.2 - 2318.4</v>
      </c>
      <c r="J12" s="2">
        <f t="shared" si="1"/>
        <v>2060.8000000000002</v>
      </c>
      <c r="K12" s="2">
        <f t="shared" si="2"/>
        <v>2310.8000000000002</v>
      </c>
      <c r="L12" s="2">
        <f t="shared" si="3"/>
        <v>129</v>
      </c>
      <c r="M12" s="2">
        <f t="shared" si="4"/>
        <v>64</v>
      </c>
      <c r="N12" s="2">
        <f t="shared" si="5"/>
        <v>305</v>
      </c>
    </row>
    <row r="13" spans="1:14" x14ac:dyDescent="0.25">
      <c r="A13" s="4">
        <v>43549</v>
      </c>
      <c r="B13" s="2">
        <v>130</v>
      </c>
      <c r="C13" s="2">
        <v>11.2</v>
      </c>
      <c r="D13" s="2">
        <v>65</v>
      </c>
      <c r="E13" s="2">
        <v>46.2</v>
      </c>
      <c r="F13" s="2">
        <v>5</v>
      </c>
      <c r="G13" s="2">
        <v>20.399999999999999</v>
      </c>
      <c r="H13" s="2"/>
      <c r="I13" s="2" t="str">
        <f t="shared" si="0"/>
        <v>1820 - 2340</v>
      </c>
      <c r="J13" s="2">
        <f t="shared" si="1"/>
        <v>2080</v>
      </c>
      <c r="K13" s="2">
        <f t="shared" si="2"/>
        <v>2330</v>
      </c>
      <c r="L13" s="2">
        <f t="shared" si="3"/>
        <v>130</v>
      </c>
      <c r="M13" s="2">
        <f t="shared" si="4"/>
        <v>65</v>
      </c>
      <c r="N13" s="2">
        <f t="shared" si="5"/>
        <v>306</v>
      </c>
    </row>
    <row r="14" spans="1:14" x14ac:dyDescent="0.25">
      <c r="A14" s="4">
        <v>43556</v>
      </c>
      <c r="B14" s="2">
        <v>130</v>
      </c>
      <c r="C14" s="2">
        <v>11.2</v>
      </c>
      <c r="D14" s="2">
        <v>65</v>
      </c>
      <c r="E14" s="2">
        <v>46.2</v>
      </c>
      <c r="F14" s="2">
        <v>5</v>
      </c>
      <c r="G14" s="2">
        <v>20.399999999999999</v>
      </c>
      <c r="H14" s="2"/>
      <c r="I14" s="2" t="str">
        <f t="shared" si="0"/>
        <v>1820 - 2340</v>
      </c>
      <c r="J14" s="2">
        <f t="shared" si="1"/>
        <v>2080</v>
      </c>
      <c r="K14" s="2">
        <f t="shared" si="2"/>
        <v>2330</v>
      </c>
      <c r="L14" s="2">
        <f t="shared" si="3"/>
        <v>130</v>
      </c>
      <c r="M14" s="2">
        <f t="shared" si="4"/>
        <v>65</v>
      </c>
      <c r="N14" s="2">
        <f t="shared" si="5"/>
        <v>306</v>
      </c>
    </row>
    <row r="15" spans="1:14" x14ac:dyDescent="0.25">
      <c r="A15" s="4">
        <v>43563</v>
      </c>
      <c r="B15" s="2">
        <v>130.19999999999999</v>
      </c>
      <c r="C15" s="2">
        <v>11.3</v>
      </c>
      <c r="D15" s="2">
        <v>64.900000000000006</v>
      </c>
      <c r="E15" s="2">
        <v>46.1</v>
      </c>
      <c r="F15" s="2">
        <v>5</v>
      </c>
      <c r="G15" s="2">
        <v>20.5</v>
      </c>
      <c r="H15" s="2"/>
      <c r="I15" s="2" t="str">
        <f t="shared" si="0"/>
        <v>1822.8 - 2343.6</v>
      </c>
      <c r="J15" s="2">
        <f t="shared" si="1"/>
        <v>2083.1999999999998</v>
      </c>
      <c r="K15" s="2">
        <f t="shared" si="2"/>
        <v>2333.1999999999998</v>
      </c>
      <c r="L15" s="2">
        <f t="shared" si="3"/>
        <v>130</v>
      </c>
      <c r="M15" s="2">
        <f t="shared" si="4"/>
        <v>65</v>
      </c>
      <c r="N15" s="2">
        <f t="shared" si="5"/>
        <v>307</v>
      </c>
    </row>
    <row r="16" spans="1:14" x14ac:dyDescent="0.25">
      <c r="A16" s="4">
        <v>43570</v>
      </c>
      <c r="B16" s="2">
        <v>132.19999999999999</v>
      </c>
      <c r="C16" s="2">
        <v>11.7</v>
      </c>
      <c r="D16" s="2">
        <v>64.599999999999994</v>
      </c>
      <c r="E16" s="2">
        <v>45.9</v>
      </c>
      <c r="F16" s="2">
        <v>5</v>
      </c>
      <c r="G16" s="2">
        <v>20.8</v>
      </c>
      <c r="H16" s="2"/>
      <c r="I16" s="2" t="str">
        <f t="shared" si="0"/>
        <v>1850.8 - 2379.6</v>
      </c>
      <c r="J16" s="2">
        <f t="shared" si="1"/>
        <v>2115.1999999999998</v>
      </c>
      <c r="K16" s="2">
        <f t="shared" si="2"/>
        <v>2365.1999999999998</v>
      </c>
      <c r="L16" s="2">
        <f t="shared" si="3"/>
        <v>132</v>
      </c>
      <c r="M16" s="2">
        <f t="shared" si="4"/>
        <v>66</v>
      </c>
      <c r="N16" s="2">
        <f t="shared" si="5"/>
        <v>311</v>
      </c>
    </row>
    <row r="17" spans="1:14" x14ac:dyDescent="0.25">
      <c r="A17" s="4">
        <v>43577</v>
      </c>
      <c r="B17" s="2">
        <v>132.19999999999999</v>
      </c>
      <c r="C17" s="2">
        <v>11.9</v>
      </c>
      <c r="D17" s="2">
        <v>64.5</v>
      </c>
      <c r="E17" s="2">
        <v>45.8</v>
      </c>
      <c r="F17" s="2">
        <v>5</v>
      </c>
      <c r="G17" s="2">
        <v>20.8</v>
      </c>
      <c r="H17" s="2"/>
      <c r="I17" s="2" t="str">
        <f t="shared" si="0"/>
        <v>1850.8 - 2379.6</v>
      </c>
      <c r="J17" s="2">
        <f t="shared" si="1"/>
        <v>2115.1999999999998</v>
      </c>
      <c r="K17" s="2">
        <f t="shared" si="2"/>
        <v>2365.1999999999998</v>
      </c>
      <c r="L17" s="2">
        <f t="shared" si="3"/>
        <v>132</v>
      </c>
      <c r="M17" s="2">
        <f t="shared" si="4"/>
        <v>66</v>
      </c>
      <c r="N17" s="2">
        <f t="shared" si="5"/>
        <v>311</v>
      </c>
    </row>
    <row r="18" spans="1:14" x14ac:dyDescent="0.25">
      <c r="A18" s="4">
        <v>43584</v>
      </c>
      <c r="B18" s="2">
        <v>131.4</v>
      </c>
      <c r="C18" s="2">
        <v>11.6</v>
      </c>
      <c r="D18" s="2">
        <v>64.7</v>
      </c>
      <c r="E18" s="2">
        <v>46</v>
      </c>
      <c r="F18" s="2">
        <v>5</v>
      </c>
      <c r="G18" s="2">
        <v>20.6</v>
      </c>
      <c r="H18" s="2"/>
      <c r="I18" s="2" t="str">
        <f t="shared" si="0"/>
        <v>1839.6 - 2365.2</v>
      </c>
      <c r="J18" s="2">
        <f t="shared" si="1"/>
        <v>2102.4</v>
      </c>
      <c r="K18" s="2">
        <f t="shared" si="2"/>
        <v>2352.4</v>
      </c>
      <c r="L18" s="2">
        <f t="shared" si="3"/>
        <v>131</v>
      </c>
      <c r="M18" s="2">
        <f t="shared" si="4"/>
        <v>65</v>
      </c>
      <c r="N18" s="2">
        <f t="shared" si="5"/>
        <v>311</v>
      </c>
    </row>
    <row r="19" spans="1:14" x14ac:dyDescent="0.25">
      <c r="A19" s="4">
        <v>43591</v>
      </c>
      <c r="B19" s="2">
        <v>133.4</v>
      </c>
      <c r="C19" s="2">
        <v>12.6</v>
      </c>
      <c r="D19" s="2">
        <v>64</v>
      </c>
      <c r="E19" s="2">
        <v>45.4</v>
      </c>
      <c r="F19" s="2">
        <v>4.9000000000000004</v>
      </c>
      <c r="G19" s="2">
        <v>21.1</v>
      </c>
      <c r="H19" s="2"/>
      <c r="I19" s="2" t="str">
        <f t="shared" si="0"/>
        <v>1867.6 - 2401.2</v>
      </c>
      <c r="J19" s="2">
        <f t="shared" si="1"/>
        <v>2134.4</v>
      </c>
      <c r="K19" s="2">
        <f t="shared" si="2"/>
        <v>2384.4</v>
      </c>
      <c r="L19" s="2">
        <f t="shared" si="3"/>
        <v>133</v>
      </c>
      <c r="M19" s="2">
        <f t="shared" si="4"/>
        <v>66</v>
      </c>
      <c r="N19" s="2">
        <f t="shared" si="5"/>
        <v>315</v>
      </c>
    </row>
    <row r="20" spans="1:14" x14ac:dyDescent="0.25">
      <c r="A20" s="4">
        <v>43598</v>
      </c>
      <c r="B20" s="2">
        <v>132.4</v>
      </c>
      <c r="C20" s="2">
        <v>12.2</v>
      </c>
      <c r="D20" s="2">
        <v>64.3</v>
      </c>
      <c r="E20" s="2">
        <v>45.7</v>
      </c>
      <c r="F20" s="2">
        <v>5</v>
      </c>
      <c r="G20" s="2">
        <v>21</v>
      </c>
      <c r="H20" s="2"/>
      <c r="I20" s="2" t="str">
        <f t="shared" si="0"/>
        <v>1853.6 - 2383.2</v>
      </c>
      <c r="J20" s="2">
        <f t="shared" si="1"/>
        <v>2118.4</v>
      </c>
      <c r="K20" s="2">
        <f t="shared" si="2"/>
        <v>2368.4</v>
      </c>
      <c r="L20" s="2">
        <f t="shared" si="3"/>
        <v>132</v>
      </c>
      <c r="M20" s="2">
        <f t="shared" si="4"/>
        <v>66</v>
      </c>
      <c r="N20" s="2">
        <f t="shared" si="5"/>
        <v>312</v>
      </c>
    </row>
    <row r="21" spans="1:14" x14ac:dyDescent="0.25">
      <c r="A21" s="4">
        <v>43605</v>
      </c>
      <c r="B21" s="2">
        <v>131.4</v>
      </c>
      <c r="C21" s="2">
        <v>12.1</v>
      </c>
      <c r="D21" s="2">
        <v>64.3</v>
      </c>
      <c r="E21" s="2">
        <v>45.7</v>
      </c>
      <c r="F21" s="2">
        <v>5</v>
      </c>
      <c r="G21" s="2">
        <v>20.9</v>
      </c>
      <c r="H21" s="2"/>
      <c r="I21" s="2" t="str">
        <f t="shared" si="0"/>
        <v>1839.6 - 2365.2</v>
      </c>
      <c r="J21" s="2">
        <f t="shared" si="1"/>
        <v>2102.4</v>
      </c>
      <c r="K21" s="2">
        <f t="shared" si="2"/>
        <v>2352.4</v>
      </c>
      <c r="L21" s="2">
        <f t="shared" si="3"/>
        <v>131</v>
      </c>
      <c r="M21" s="2">
        <f t="shared" si="4"/>
        <v>65</v>
      </c>
      <c r="N21" s="2">
        <f t="shared" si="5"/>
        <v>311</v>
      </c>
    </row>
    <row r="22" spans="1:14" x14ac:dyDescent="0.25">
      <c r="A22" s="4">
        <v>43612</v>
      </c>
      <c r="B22" s="2">
        <v>133.19999999999999</v>
      </c>
      <c r="C22" s="2">
        <v>12.5</v>
      </c>
      <c r="D22" s="2">
        <v>64.099999999999994</v>
      </c>
      <c r="E22" s="2">
        <v>45.5</v>
      </c>
      <c r="F22" s="2">
        <v>5</v>
      </c>
      <c r="G22" s="2">
        <v>21.1</v>
      </c>
      <c r="H22" s="2"/>
      <c r="I22" s="2" t="str">
        <f t="shared" si="0"/>
        <v>1864.8 - 2397.6</v>
      </c>
      <c r="J22" s="2">
        <f t="shared" si="1"/>
        <v>2131.1999999999998</v>
      </c>
      <c r="K22" s="2">
        <f t="shared" si="2"/>
        <v>2381.1999999999998</v>
      </c>
      <c r="L22" s="2">
        <f t="shared" si="3"/>
        <v>133</v>
      </c>
      <c r="M22" s="2">
        <f t="shared" si="4"/>
        <v>66</v>
      </c>
      <c r="N22" s="2">
        <f t="shared" si="5"/>
        <v>314</v>
      </c>
    </row>
    <row r="23" spans="1:14" x14ac:dyDescent="0.25">
      <c r="A23" s="4"/>
      <c r="B23" s="2"/>
      <c r="C23" s="2"/>
      <c r="D23" s="2"/>
      <c r="E23" s="2"/>
      <c r="F23" s="2"/>
      <c r="G23" s="2"/>
      <c r="H23" s="2"/>
      <c r="I23" s="2" t="str">
        <f t="shared" si="0"/>
        <v/>
      </c>
      <c r="J23" s="2" t="str">
        <f t="shared" si="1"/>
        <v/>
      </c>
      <c r="K23" s="2" t="str">
        <f t="shared" si="2"/>
        <v/>
      </c>
      <c r="L23" s="2" t="str">
        <f t="shared" si="3"/>
        <v/>
      </c>
      <c r="M23" s="2" t="str">
        <f t="shared" si="4"/>
        <v/>
      </c>
      <c r="N23" s="2" t="str">
        <f t="shared" si="5"/>
        <v/>
      </c>
    </row>
    <row r="24" spans="1:14" x14ac:dyDescent="0.25">
      <c r="A24" s="4"/>
      <c r="B24" s="2"/>
      <c r="C24" s="2"/>
      <c r="D24" s="2"/>
      <c r="E24" s="2"/>
      <c r="F24" s="2"/>
      <c r="G24" s="2"/>
      <c r="H24" s="2"/>
      <c r="I24" s="2" t="str">
        <f t="shared" si="0"/>
        <v/>
      </c>
      <c r="J24" s="2" t="str">
        <f t="shared" si="1"/>
        <v/>
      </c>
      <c r="K24" s="2" t="str">
        <f t="shared" si="2"/>
        <v/>
      </c>
      <c r="L24" s="2" t="str">
        <f t="shared" si="3"/>
        <v/>
      </c>
      <c r="M24" s="2" t="str">
        <f t="shared" si="4"/>
        <v/>
      </c>
      <c r="N24" s="2" t="str">
        <f t="shared" si="5"/>
        <v/>
      </c>
    </row>
    <row r="25" spans="1:14" x14ac:dyDescent="0.25">
      <c r="A25" s="4"/>
      <c r="B25" s="2"/>
      <c r="C25" s="2"/>
      <c r="D25" s="2"/>
      <c r="E25" s="2"/>
      <c r="F25" s="2"/>
      <c r="G25" s="2"/>
      <c r="H25" s="2"/>
      <c r="I25" s="2" t="str">
        <f t="shared" si="0"/>
        <v/>
      </c>
      <c r="J25" s="2" t="str">
        <f t="shared" si="1"/>
        <v/>
      </c>
      <c r="K25" s="2" t="str">
        <f t="shared" si="2"/>
        <v/>
      </c>
      <c r="L25" s="2" t="str">
        <f t="shared" si="3"/>
        <v/>
      </c>
      <c r="M25" s="2" t="str">
        <f t="shared" si="4"/>
        <v/>
      </c>
      <c r="N25" s="2" t="str">
        <f t="shared" si="5"/>
        <v/>
      </c>
    </row>
    <row r="26" spans="1:14" x14ac:dyDescent="0.25">
      <c r="A26" s="1"/>
    </row>
    <row r="27" spans="1:14" x14ac:dyDescent="0.25">
      <c r="A27" s="1"/>
    </row>
    <row r="28" spans="1:14" x14ac:dyDescent="0.25">
      <c r="A28" s="1"/>
    </row>
    <row r="29" spans="1:14" x14ac:dyDescent="0.25">
      <c r="A29" s="1"/>
    </row>
    <row r="30" spans="1:14" x14ac:dyDescent="0.25">
      <c r="A30" s="1"/>
    </row>
    <row r="31" spans="1:14" x14ac:dyDescent="0.25">
      <c r="A31" s="1"/>
    </row>
    <row r="32" spans="1:14" x14ac:dyDescent="0.25">
      <c r="A32" s="1"/>
    </row>
    <row r="33" spans="1:1" x14ac:dyDescent="0.25">
      <c r="A33" s="1"/>
    </row>
    <row r="34" spans="1:1" x14ac:dyDescent="0.25">
      <c r="A34" s="1"/>
    </row>
    <row r="35" spans="1:1" x14ac:dyDescent="0.25">
      <c r="A35" s="1"/>
    </row>
    <row r="36" spans="1:1" x14ac:dyDescent="0.25">
      <c r="A36" s="1"/>
    </row>
    <row r="37" spans="1:1" x14ac:dyDescent="0.25">
      <c r="A37" s="1"/>
    </row>
    <row r="38" spans="1:1" x14ac:dyDescent="0.25">
      <c r="A38" s="1"/>
    </row>
    <row r="39" spans="1:1" x14ac:dyDescent="0.25">
      <c r="A39" s="1"/>
    </row>
    <row r="40" spans="1:1" x14ac:dyDescent="0.25">
      <c r="A40" s="1"/>
    </row>
    <row r="41" spans="1:1" x14ac:dyDescent="0.25">
      <c r="A41" s="1"/>
    </row>
    <row r="42" spans="1:1" x14ac:dyDescent="0.25">
      <c r="A42" s="1"/>
    </row>
    <row r="43" spans="1:1" x14ac:dyDescent="0.25">
      <c r="A43" s="1"/>
    </row>
    <row r="44" spans="1:1" x14ac:dyDescent="0.25">
      <c r="A44" s="1"/>
    </row>
    <row r="45" spans="1:1" x14ac:dyDescent="0.25">
      <c r="A45" s="1"/>
    </row>
    <row r="46" spans="1:1" x14ac:dyDescent="0.25">
      <c r="A46" s="1"/>
    </row>
    <row r="47" spans="1:1" x14ac:dyDescent="0.25">
      <c r="A47" s="1"/>
    </row>
    <row r="48" spans="1:1" x14ac:dyDescent="0.25">
      <c r="A48" s="1"/>
    </row>
    <row r="49" spans="1:1" x14ac:dyDescent="0.25">
      <c r="A49" s="1"/>
    </row>
    <row r="50" spans="1:1" x14ac:dyDescent="0.25">
      <c r="A50" s="1"/>
    </row>
    <row r="51" spans="1:1" x14ac:dyDescent="0.25">
      <c r="A51" s="1"/>
    </row>
    <row r="52" spans="1:1" x14ac:dyDescent="0.25">
      <c r="A52"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07C08-783C-460B-ADF5-59D8C738056B}">
  <sheetPr codeName="Sheet2"/>
  <dimension ref="A1:P1048576"/>
  <sheetViews>
    <sheetView topLeftCell="A28" workbookViewId="0">
      <selection activeCell="E69" sqref="E69"/>
    </sheetView>
  </sheetViews>
  <sheetFormatPr defaultRowHeight="15" x14ac:dyDescent="0.25"/>
  <cols>
    <col min="1" max="8" width="25.7109375" customWidth="1"/>
    <col min="9" max="11" width="18.7109375" customWidth="1"/>
    <col min="12" max="12" width="9.140625" customWidth="1"/>
    <col min="13" max="13" width="13.5703125" customWidth="1"/>
    <col min="14" max="14" width="10.7109375" customWidth="1"/>
    <col min="15" max="15" width="9.7109375" customWidth="1"/>
  </cols>
  <sheetData>
    <row r="1" spans="1:16" ht="28.5" x14ac:dyDescent="0.45">
      <c r="A1" s="24" t="s">
        <v>4</v>
      </c>
      <c r="B1" s="25"/>
      <c r="C1" s="25"/>
      <c r="D1" s="25"/>
      <c r="E1" s="25"/>
      <c r="F1" s="25"/>
      <c r="G1" s="25"/>
      <c r="H1" s="25"/>
      <c r="I1" s="25"/>
      <c r="J1" s="25"/>
      <c r="K1" s="25"/>
      <c r="L1" s="25"/>
      <c r="M1" s="25"/>
      <c r="N1" s="25"/>
      <c r="O1" s="25"/>
      <c r="P1" s="25"/>
    </row>
    <row r="2" spans="1:16" x14ac:dyDescent="0.25">
      <c r="A2" s="25"/>
      <c r="B2" s="25"/>
      <c r="C2" s="25"/>
      <c r="D2" s="25"/>
      <c r="E2" s="25"/>
      <c r="F2" s="25"/>
      <c r="G2" s="25"/>
      <c r="H2" s="25"/>
      <c r="I2" s="25"/>
      <c r="J2" s="25"/>
      <c r="K2" s="25"/>
      <c r="L2" s="25"/>
      <c r="M2" s="25"/>
      <c r="N2" s="25"/>
      <c r="O2" s="25"/>
      <c r="P2" s="25"/>
    </row>
    <row r="3" spans="1:16" ht="23.25" x14ac:dyDescent="0.35">
      <c r="A3" s="26">
        <v>43479</v>
      </c>
      <c r="B3" s="25"/>
      <c r="C3" s="25"/>
      <c r="D3" s="25"/>
      <c r="E3" s="25"/>
      <c r="F3" s="25"/>
      <c r="G3" s="25"/>
      <c r="H3" s="25"/>
      <c r="I3" s="25"/>
      <c r="J3" s="25"/>
      <c r="K3" s="25"/>
      <c r="L3" s="25"/>
      <c r="M3" s="25"/>
      <c r="N3" s="25"/>
      <c r="O3" s="25"/>
      <c r="P3" s="25"/>
    </row>
    <row r="4" spans="1:16" ht="18" thickBot="1" x14ac:dyDescent="0.35">
      <c r="A4" s="3" t="s">
        <v>48</v>
      </c>
      <c r="B4" s="3" t="s">
        <v>0</v>
      </c>
      <c r="C4" s="3" t="s">
        <v>36</v>
      </c>
      <c r="D4" s="3" t="s">
        <v>8</v>
      </c>
      <c r="E4" s="5" t="s">
        <v>9</v>
      </c>
      <c r="F4" s="5" t="s">
        <v>10</v>
      </c>
      <c r="G4" s="27"/>
      <c r="H4" s="28"/>
      <c r="I4" s="25"/>
      <c r="J4" s="25"/>
      <c r="K4" s="25"/>
      <c r="L4" s="25"/>
      <c r="M4" s="27"/>
      <c r="N4" s="29" t="s">
        <v>8</v>
      </c>
      <c r="O4" s="29" t="s">
        <v>9</v>
      </c>
      <c r="P4" s="29" t="s">
        <v>10</v>
      </c>
    </row>
    <row r="5" spans="1:16" ht="15.75" thickTop="1" x14ac:dyDescent="0.25">
      <c r="A5" s="18">
        <v>43479</v>
      </c>
      <c r="B5" s="16">
        <f>IFERROR(VLOOKUP(A5,OverviewTable[],2,FALSE),"?")</f>
        <v>125.4</v>
      </c>
      <c r="C5" s="16" t="str">
        <f>((N10 * 4) + (O10 * 9) + (P10 * 4))&amp;"/"&amp;IFERROR(VLOOKUP(A5,OverviewTable[],11,FALSE),"?")</f>
        <v>3282/2256.4</v>
      </c>
      <c r="D5" s="16" t="str">
        <f>N10&amp;"/"&amp;IFERROR(VLOOKUP(A5,OverviewTable[],12,FALSE),"?")</f>
        <v>167.2/125</v>
      </c>
      <c r="E5" s="16" t="str">
        <f>O10&amp;"/"&amp;IFERROR(VLOOKUP(A5,OverviewTable[],13,FALSE),"?")</f>
        <v>124.4/63</v>
      </c>
      <c r="F5" s="16" t="str">
        <f>P10&amp;"/"&amp;IFERROR(VLOOKUP(A5,OverviewTable[],14,FALSE),"?")</f>
        <v>373.4/297</v>
      </c>
      <c r="G5" s="28"/>
      <c r="H5" s="28"/>
      <c r="I5" s="25"/>
      <c r="J5" s="25"/>
      <c r="K5" s="25"/>
      <c r="L5" s="25"/>
      <c r="M5" s="29" t="s">
        <v>6</v>
      </c>
      <c r="N5" s="29">
        <f>(A8 * IFERROR(VLOOKUP(B8,BreakfastTable[],2,FALSE),0)) + (A9 * IFERROR(VLOOKUP(B9,BreakfastTable[],2,FALSE),0)) + (A10 * IFERROR(VLOOKUP(B10,BreakfastTable[],2,FALSE),0)) + (A11 * IFERROR(VLOOKUP(B11,BreakfastTable[],2,FALSE),0))</f>
        <v>20</v>
      </c>
      <c r="O5" s="29">
        <f>(A8 * IFERROR(VLOOKUP(B8,BreakfastTable[],3,FALSE),0)) + (A9 * IFERROR(VLOOKUP(B9,BreakfastTable[],3,FALSE),0)) + (A10 * IFERROR(VLOOKUP(B10,BreakfastTable[],3,FALSE),0)) + (A11 * IFERROR(VLOOKUP(B11,BreakfastTable[],3,FALSE),0))</f>
        <v>9</v>
      </c>
      <c r="P5" s="29">
        <f>(A8 * IFERROR(VLOOKUP(B8,BreakfastTable[],4,FALSE),0)) + (A9 * IFERROR(VLOOKUP(B9,BreakfastTable[],4,FALSE),0)) + (A10 * IFERROR(VLOOKUP(B10,BreakfastTable[],4,FALSE),0)) + (A11 * IFERROR(VLOOKUP(B11,BreakfastTable[],4,FALSE),0))</f>
        <v>30</v>
      </c>
    </row>
    <row r="6" spans="1:16" x14ac:dyDescent="0.25">
      <c r="A6" s="17"/>
      <c r="B6" s="17"/>
      <c r="C6" s="17"/>
      <c r="D6" s="17"/>
      <c r="E6" s="17"/>
      <c r="F6" s="17"/>
      <c r="G6" s="28"/>
      <c r="H6" s="28"/>
      <c r="I6" s="25"/>
      <c r="J6" s="25"/>
      <c r="K6" s="25"/>
      <c r="L6" s="25"/>
      <c r="M6" s="29" t="s">
        <v>11</v>
      </c>
      <c r="N6" s="29">
        <f>(C8 * IFERROR(VLOOKUP(D8,LunchTable[],2,FALSE),0)) + (C9 * IFERROR(VLOOKUP(D9,LunchTable[],2,FALSE),0)) + (C10 * IFERROR(VLOOKUP(D10,LunchTable[],2,FALSE),0)) + (C11 * IFERROR(VLOOKUP(D11,LunchTable[],2,FALSE),0))</f>
        <v>35</v>
      </c>
      <c r="O6" s="29">
        <f>(C8 * IFERROR(VLOOKUP(D8,LunchTable[],3,FALSE),0)) + (C9 * IFERROR(VLOOKUP(D9,LunchTable[],3,FALSE),0)) + (C10 * IFERROR(VLOOKUP(D10,LunchTable[],3,FALSE),0)) + (C11 * IFERROR(VLOOKUP(D11,LunchTable[],3,FALSE),0))</f>
        <v>50</v>
      </c>
      <c r="P6" s="29">
        <f>(C8 * IFERROR(VLOOKUP(D8,LunchTable[],4,FALSE),0)) + (C9 * IFERROR(VLOOKUP(D9,LunchTable[],4,FALSE),0)) + (C10 * IFERROR(VLOOKUP(D10,LunchTable[],4,FALSE),0)) + (C11 * IFERROR(VLOOKUP(D11,LunchTable[],4,FALSE),0))</f>
        <v>60</v>
      </c>
    </row>
    <row r="7" spans="1:16" ht="18" thickBot="1" x14ac:dyDescent="0.35">
      <c r="A7" s="10" t="s">
        <v>34</v>
      </c>
      <c r="B7" s="11" t="s">
        <v>6</v>
      </c>
      <c r="C7" s="10" t="s">
        <v>34</v>
      </c>
      <c r="D7" s="11" t="s">
        <v>11</v>
      </c>
      <c r="E7" s="10" t="s">
        <v>34</v>
      </c>
      <c r="F7" s="11" t="s">
        <v>12</v>
      </c>
      <c r="G7" s="10" t="s">
        <v>34</v>
      </c>
      <c r="H7" s="12" t="s">
        <v>35</v>
      </c>
      <c r="I7" s="5" t="s">
        <v>41</v>
      </c>
      <c r="J7" s="5" t="s">
        <v>42</v>
      </c>
      <c r="K7" s="5" t="s">
        <v>43</v>
      </c>
      <c r="L7" s="25"/>
      <c r="M7" s="29" t="s">
        <v>12</v>
      </c>
      <c r="N7" s="29">
        <f>(E8 * IFERROR(VLOOKUP(F8,DinnerTable[],2,FALSE),0)) + (E9 * IFERROR(VLOOKUP(F9,DinnerTable[],2,FALSE),0)) + (E10 * IFERROR(VLOOKUP(F10,DinnerTable[],2,FALSE),0)) + (E11 * IFERROR(VLOOKUP(F11,DinnerTable[],2,FALSE),0))</f>
        <v>80</v>
      </c>
      <c r="O7" s="29">
        <f>(E8 * IFERROR(VLOOKUP(F8,DinnerTable[],3,FALSE),0)) + (E9 * IFERROR(VLOOKUP(F9,DinnerTable[],3,FALSE),0)) + (E10 * IFERROR(VLOOKUP(F10,DinnerTable[],3,FALSE),0)) + (E11 * IFERROR(VLOOKUP(F11,DinnerTable[],3,FALSE),0))</f>
        <v>50.5</v>
      </c>
      <c r="P7" s="29">
        <f>(E8 * IFERROR(VLOOKUP(F8,DinnerTable[],4,FALSE),0)) + (E9 * IFERROR(VLOOKUP(F9,DinnerTable[],4,FALSE),0)) + (E10 * IFERROR(VLOOKUP(F10,DinnerTable[],4,FALSE),0)) + (E11 * IFERROR(VLOOKUP(F11,DinnerTable[],4,FALSE),0))</f>
        <v>233</v>
      </c>
    </row>
    <row r="8" spans="1:16" ht="15.75" thickTop="1" x14ac:dyDescent="0.25">
      <c r="A8" s="17">
        <v>1</v>
      </c>
      <c r="B8" s="17" t="s">
        <v>26</v>
      </c>
      <c r="C8" s="17">
        <v>0.5</v>
      </c>
      <c r="D8" s="17" t="s">
        <v>28</v>
      </c>
      <c r="E8" s="17">
        <v>0.5</v>
      </c>
      <c r="F8" s="17" t="s">
        <v>44</v>
      </c>
      <c r="G8" s="17">
        <v>1</v>
      </c>
      <c r="H8" s="17" t="s">
        <v>96</v>
      </c>
      <c r="I8" s="2"/>
      <c r="J8" s="2"/>
      <c r="K8" s="2"/>
      <c r="L8" s="25"/>
      <c r="M8" s="29" t="s">
        <v>35</v>
      </c>
      <c r="N8" s="29">
        <f>(G8 * IFERROR(VLOOKUP(H8,PostWorkoutTable[],2,FALSE),0)) + (G9 * IFERROR(VLOOKUP(H9,PostWorkoutTable[],2,FALSE),0)) + (G10 * IFERROR(VLOOKUP(H10,PostWorkoutTable[],2,FALSE),0)) + (G11 * IFERROR(VLOOKUP(H11,PostWorkoutTable[],2,FALSE),0))</f>
        <v>32.200000000000003</v>
      </c>
      <c r="O8" s="29">
        <f>(G8 * IFERROR(VLOOKUP(H8,PostWorkoutTable[],3,FALSE),0)) + (G9 * IFERROR(VLOOKUP(H9,PostWorkoutTable[],3,FALSE),0)) + (G10 * IFERROR(VLOOKUP(H10,PostWorkoutTable[],3,FALSE),0)) + (G11 * IFERROR(VLOOKUP(H11,PostWorkoutTable[],3,FALSE),0))</f>
        <v>14.9</v>
      </c>
      <c r="P8" s="29">
        <f>(G8 * IFERROR(VLOOKUP(H8,PostWorkoutTable[],4,FALSE),0)) + (G9 * IFERROR(VLOOKUP(H9,PostWorkoutTable[],4,FALSE),0)) + (G10 * IFERROR(VLOOKUP(H10,PostWorkoutTable[],4,FALSE),0)) + (G11 * IFERROR(VLOOKUP(H11,PostWorkoutTable[],4,FALSE),0))</f>
        <v>50.4</v>
      </c>
    </row>
    <row r="9" spans="1:16" x14ac:dyDescent="0.25">
      <c r="A9" s="17"/>
      <c r="B9" s="17"/>
      <c r="C9" s="17"/>
      <c r="D9" s="17"/>
      <c r="E9" s="17">
        <v>0.5</v>
      </c>
      <c r="F9" s="17" t="s">
        <v>45</v>
      </c>
      <c r="G9" s="17"/>
      <c r="H9" s="17"/>
      <c r="I9" s="2"/>
      <c r="J9" s="2"/>
      <c r="K9" s="2"/>
      <c r="L9" s="25"/>
      <c r="M9" s="29" t="s">
        <v>21</v>
      </c>
      <c r="N9" s="29">
        <f xml:space="preserve"> SUM(I8:I11)</f>
        <v>0</v>
      </c>
      <c r="O9" s="29">
        <f>SUM(J8:J11)</f>
        <v>0</v>
      </c>
      <c r="P9" s="29">
        <f>SUM(K8:K11)</f>
        <v>0</v>
      </c>
    </row>
    <row r="10" spans="1:16" x14ac:dyDescent="0.25">
      <c r="A10" s="17"/>
      <c r="B10" s="17"/>
      <c r="C10" s="17"/>
      <c r="D10" s="17"/>
      <c r="E10" s="17">
        <v>1</v>
      </c>
      <c r="F10" s="17" t="s">
        <v>56</v>
      </c>
      <c r="G10" s="17"/>
      <c r="H10" s="17"/>
      <c r="I10" s="2"/>
      <c r="J10" s="2"/>
      <c r="K10" s="2"/>
      <c r="L10" s="25"/>
      <c r="M10" s="29" t="s">
        <v>38</v>
      </c>
      <c r="N10" s="29">
        <f>SUM(N5:N9)</f>
        <v>167.2</v>
      </c>
      <c r="O10" s="29">
        <f>SUM(O5:O9)</f>
        <v>124.4</v>
      </c>
      <c r="P10" s="29">
        <f>SUM(P5:P9)</f>
        <v>373.4</v>
      </c>
    </row>
    <row r="11" spans="1:16" x14ac:dyDescent="0.25">
      <c r="A11" s="17"/>
      <c r="B11" s="17"/>
      <c r="C11" s="17"/>
      <c r="D11" s="17"/>
      <c r="E11" s="17"/>
      <c r="F11" s="17"/>
      <c r="G11" s="17"/>
      <c r="H11" s="17"/>
      <c r="I11" s="2"/>
      <c r="J11" s="2"/>
      <c r="K11" s="2"/>
      <c r="L11" s="25"/>
      <c r="M11" s="25"/>
      <c r="N11" s="25"/>
      <c r="O11" s="25"/>
      <c r="P11" s="25"/>
    </row>
    <row r="12" spans="1:16" x14ac:dyDescent="0.25">
      <c r="A12" s="25"/>
      <c r="B12" s="25"/>
      <c r="C12" s="25"/>
      <c r="D12" s="25"/>
      <c r="E12" s="25"/>
      <c r="F12" s="25"/>
      <c r="G12" s="25"/>
      <c r="H12" s="25"/>
      <c r="I12" s="25"/>
      <c r="J12" s="25"/>
      <c r="K12" s="25"/>
      <c r="L12" s="25"/>
      <c r="M12" s="25"/>
      <c r="N12" s="25"/>
      <c r="O12" s="25"/>
      <c r="P12" s="25"/>
    </row>
    <row r="13" spans="1:16" ht="23.25" x14ac:dyDescent="0.35">
      <c r="A13" s="26">
        <v>43480</v>
      </c>
      <c r="B13" s="25"/>
      <c r="C13" s="25"/>
      <c r="D13" s="25"/>
      <c r="E13" s="25"/>
      <c r="F13" s="25"/>
      <c r="G13" s="25"/>
      <c r="H13" s="25"/>
      <c r="I13" s="25"/>
      <c r="J13" s="25"/>
      <c r="K13" s="25"/>
      <c r="L13" s="25"/>
      <c r="M13" s="25"/>
      <c r="N13" s="25"/>
      <c r="O13" s="25"/>
      <c r="P13" s="25"/>
    </row>
    <row r="14" spans="1:16" ht="18" thickBot="1" x14ac:dyDescent="0.35">
      <c r="A14" s="3" t="s">
        <v>48</v>
      </c>
      <c r="B14" s="3" t="s">
        <v>0</v>
      </c>
      <c r="C14" s="3" t="s">
        <v>36</v>
      </c>
      <c r="D14" s="3" t="s">
        <v>8</v>
      </c>
      <c r="E14" s="5" t="s">
        <v>9</v>
      </c>
      <c r="F14" s="5" t="s">
        <v>10</v>
      </c>
      <c r="G14" s="27"/>
      <c r="H14" s="28"/>
      <c r="I14" s="25"/>
      <c r="J14" s="25"/>
      <c r="K14" s="25"/>
      <c r="L14" s="25"/>
      <c r="M14" s="27"/>
      <c r="N14" s="29" t="s">
        <v>8</v>
      </c>
      <c r="O14" s="29" t="s">
        <v>9</v>
      </c>
      <c r="P14" s="29" t="s">
        <v>10</v>
      </c>
    </row>
    <row r="15" spans="1:16" ht="15.75" thickTop="1" x14ac:dyDescent="0.25">
      <c r="A15" s="18">
        <v>43479</v>
      </c>
      <c r="B15" s="16">
        <f>IFERROR(VLOOKUP(A15,OverviewTable[],2,FALSE),"?")</f>
        <v>125.4</v>
      </c>
      <c r="C15" s="16" t="str">
        <f>((N20 * 4) + (O20 * 9) + (P20 * 4))&amp;"/"&amp;IFERROR(VLOOKUP(A15,OverviewTable[],11,FALSE),"?")</f>
        <v>1104.2/2256.4</v>
      </c>
      <c r="D15" s="16" t="str">
        <f>N20&amp;"/"&amp;IFERROR(VLOOKUP(A15,OverviewTable[],12,FALSE),"?")</f>
        <v>60.3/125</v>
      </c>
      <c r="E15" s="16" t="str">
        <f>O20&amp;"/"&amp;IFERROR(VLOOKUP(A15,OverviewTable[],13,FALSE),"?")</f>
        <v>24.2/63</v>
      </c>
      <c r="F15" s="16" t="str">
        <f>P20&amp;"/"&amp;IFERROR(VLOOKUP(A15,OverviewTable[],14,FALSE),"?")</f>
        <v>161.3/297</v>
      </c>
      <c r="G15" s="28"/>
      <c r="H15" s="28"/>
      <c r="I15" s="25"/>
      <c r="J15" s="25"/>
      <c r="K15" s="25"/>
      <c r="L15" s="25"/>
      <c r="M15" s="29" t="s">
        <v>6</v>
      </c>
      <c r="N15" s="29">
        <f>(A18 * IFERROR(VLOOKUP(B18,BreakfastTable[],2,FALSE),0)) + (A19 * IFERROR(VLOOKUP(B19,BreakfastTable[],2,FALSE),0)) + (A20 * IFERROR(VLOOKUP(B20,BreakfastTable[],2,FALSE),0)) + (A21 * IFERROR(VLOOKUP(B21,BreakfastTable[],2,FALSE),0))</f>
        <v>20</v>
      </c>
      <c r="O15" s="29">
        <f>(A18 * IFERROR(VLOOKUP(B18,BreakfastTable[],3,FALSE),0)) + (A19 * IFERROR(VLOOKUP(B19,BreakfastTable[],3,FALSE),0)) + (A20 * IFERROR(VLOOKUP(B20,BreakfastTable[],3,FALSE),0)) + (A21 * IFERROR(VLOOKUP(B21,BreakfastTable[],3,FALSE),0))</f>
        <v>9</v>
      </c>
      <c r="P15" s="29">
        <f>(A18 * IFERROR(VLOOKUP(B18,BreakfastTable[],4,FALSE),0)) + (A19 * IFERROR(VLOOKUP(B19,BreakfastTable[],4,FALSE),0)) + (A20 * IFERROR(VLOOKUP(B20,BreakfastTable[],4,FALSE),0)) + (A21 * IFERROR(VLOOKUP(B21,BreakfastTable[],4,FALSE),0))</f>
        <v>30</v>
      </c>
    </row>
    <row r="16" spans="1:16" x14ac:dyDescent="0.25">
      <c r="A16" s="17"/>
      <c r="B16" s="17"/>
      <c r="C16" s="17"/>
      <c r="D16" s="17"/>
      <c r="E16" s="17"/>
      <c r="F16" s="17"/>
      <c r="G16" s="28"/>
      <c r="H16" s="28"/>
      <c r="I16" s="25"/>
      <c r="J16" s="25"/>
      <c r="K16" s="25"/>
      <c r="L16" s="25"/>
      <c r="M16" s="29" t="s">
        <v>11</v>
      </c>
      <c r="N16" s="29">
        <f>(C18 * IFERROR(VLOOKUP(D18,LunchTable[],2,FALSE),0)) + (C19 * IFERROR(VLOOKUP(D19,LunchTable[],2,FALSE),0)) + (C20 * IFERROR(VLOOKUP(D20,LunchTable[],2,FALSE),0)) + (C21 * IFERROR(VLOOKUP(D21,LunchTable[],2,FALSE),0))</f>
        <v>9</v>
      </c>
      <c r="O16" s="29">
        <f>(C18 * IFERROR(VLOOKUP(D18,LunchTable[],3,FALSE),0)) + (C19 * IFERROR(VLOOKUP(D19,LunchTable[],3,FALSE),0)) + (C20 * IFERROR(VLOOKUP(D20,LunchTable[],3,FALSE),0)) + (C21 * IFERROR(VLOOKUP(D21,LunchTable[],3,FALSE),0))</f>
        <v>3</v>
      </c>
      <c r="P16" s="29">
        <f>(C18 * IFERROR(VLOOKUP(D18,LunchTable[],4,FALSE),0)) + (C19 * IFERROR(VLOOKUP(D19,LunchTable[],4,FALSE),0)) + (C20 * IFERROR(VLOOKUP(D20,LunchTable[],4,FALSE),0)) + (C21 * IFERROR(VLOOKUP(D21,LunchTable[],4,FALSE),0))</f>
        <v>53</v>
      </c>
    </row>
    <row r="17" spans="1:16" ht="18" thickBot="1" x14ac:dyDescent="0.35">
      <c r="A17" s="10" t="s">
        <v>34</v>
      </c>
      <c r="B17" s="11" t="s">
        <v>6</v>
      </c>
      <c r="C17" s="10" t="s">
        <v>34</v>
      </c>
      <c r="D17" s="11" t="s">
        <v>11</v>
      </c>
      <c r="E17" s="10" t="s">
        <v>34</v>
      </c>
      <c r="F17" s="11" t="s">
        <v>12</v>
      </c>
      <c r="G17" s="10" t="s">
        <v>34</v>
      </c>
      <c r="H17" s="12" t="s">
        <v>35</v>
      </c>
      <c r="I17" s="5" t="s">
        <v>41</v>
      </c>
      <c r="J17" s="5" t="s">
        <v>42</v>
      </c>
      <c r="K17" s="5" t="s">
        <v>43</v>
      </c>
      <c r="L17" s="25"/>
      <c r="M17" s="29" t="s">
        <v>12</v>
      </c>
      <c r="N17" s="29">
        <f>(E18 * IFERROR(VLOOKUP(F18,DinnerTable[],2,FALSE),0)) + (E19 * IFERROR(VLOOKUP(F19,DinnerTable[],2,FALSE),0)) + (E20 * IFERROR(VLOOKUP(F20,DinnerTable[],2,FALSE),0)) + (E21 * IFERROR(VLOOKUP(F21,DinnerTable[],2,FALSE),0))</f>
        <v>31</v>
      </c>
      <c r="O17" s="29">
        <f>(E18 * IFERROR(VLOOKUP(F18,DinnerTable[],3,FALSE),0)) + (E19 * IFERROR(VLOOKUP(F19,DinnerTable[],3,FALSE),0)) + (E20 * IFERROR(VLOOKUP(F20,DinnerTable[],3,FALSE),0)) + (E21 * IFERROR(VLOOKUP(F21,DinnerTable[],3,FALSE),0))</f>
        <v>12</v>
      </c>
      <c r="P17" s="29">
        <f>(E18 * IFERROR(VLOOKUP(F18,DinnerTable[],4,FALSE),0)) + (E19 * IFERROR(VLOOKUP(F19,DinnerTable[],4,FALSE),0)) + (E20 * IFERROR(VLOOKUP(F20,DinnerTable[],4,FALSE),0)) + (E21 * IFERROR(VLOOKUP(F21,DinnerTable[],4,FALSE),0))</f>
        <v>61</v>
      </c>
    </row>
    <row r="18" spans="1:16" ht="15.75" thickTop="1" x14ac:dyDescent="0.25">
      <c r="A18" s="17">
        <v>1</v>
      </c>
      <c r="B18" s="17" t="s">
        <v>26</v>
      </c>
      <c r="C18" s="17">
        <v>0.25</v>
      </c>
      <c r="D18" s="17" t="s">
        <v>46</v>
      </c>
      <c r="E18" s="17">
        <v>2</v>
      </c>
      <c r="F18" s="17" t="s">
        <v>29</v>
      </c>
      <c r="G18" s="17">
        <v>1</v>
      </c>
      <c r="H18" s="17" t="s">
        <v>33</v>
      </c>
      <c r="I18" s="2"/>
      <c r="J18" s="2"/>
      <c r="K18" s="2"/>
      <c r="L18" s="25"/>
      <c r="M18" s="29" t="s">
        <v>35</v>
      </c>
      <c r="N18" s="29">
        <f>(G18 * IFERROR(VLOOKUP(H18,PostWorkoutTable[],2,FALSE),0)) + (G19 * IFERROR(VLOOKUP(H19,PostWorkoutTable[],2,FALSE),0)) + (G20 * IFERROR(VLOOKUP(H20,PostWorkoutTable[],2,FALSE),0)) + (G21 * IFERROR(VLOOKUP(H21,PostWorkoutTable[],2,FALSE),0))</f>
        <v>0.3</v>
      </c>
      <c r="O18" s="29">
        <f>(G18 * IFERROR(VLOOKUP(H18,PostWorkoutTable[],3,FALSE),0)) + (G19 * IFERROR(VLOOKUP(H19,PostWorkoutTable[],3,FALSE),0)) + (G20 * IFERROR(VLOOKUP(H20,PostWorkoutTable[],3,FALSE),0)) + (G21 * IFERROR(VLOOKUP(H21,PostWorkoutTable[],3,FALSE),0))</f>
        <v>0.2</v>
      </c>
      <c r="P18" s="29">
        <f>(G18 * IFERROR(VLOOKUP(H18,PostWorkoutTable[],4,FALSE),0)) + (G19 * IFERROR(VLOOKUP(H19,PostWorkoutTable[],4,FALSE),0)) + (G20 * IFERROR(VLOOKUP(H20,PostWorkoutTable[],4,FALSE),0)) + (G21 * IFERROR(VLOOKUP(H21,PostWorkoutTable[],4,FALSE),0))</f>
        <v>17.3</v>
      </c>
    </row>
    <row r="19" spans="1:16" x14ac:dyDescent="0.25">
      <c r="A19" s="17"/>
      <c r="B19" s="17"/>
      <c r="C19" s="17">
        <v>0.25</v>
      </c>
      <c r="D19" s="17" t="s">
        <v>47</v>
      </c>
      <c r="E19" s="17">
        <v>2</v>
      </c>
      <c r="F19" s="17" t="s">
        <v>49</v>
      </c>
      <c r="G19" s="17"/>
      <c r="H19" s="17"/>
      <c r="I19" s="2"/>
      <c r="J19" s="2"/>
      <c r="K19" s="2"/>
      <c r="L19" s="25"/>
      <c r="M19" s="29" t="s">
        <v>21</v>
      </c>
      <c r="N19" s="29">
        <f xml:space="preserve"> SUM(I18:I21)</f>
        <v>0</v>
      </c>
      <c r="O19" s="29">
        <f>SUM(J18:J21)</f>
        <v>0</v>
      </c>
      <c r="P19" s="29">
        <f>SUM(K18:K21)</f>
        <v>0</v>
      </c>
    </row>
    <row r="20" spans="1:16" x14ac:dyDescent="0.25">
      <c r="A20" s="17"/>
      <c r="B20" s="17"/>
      <c r="C20" s="17">
        <v>1</v>
      </c>
      <c r="D20" s="17" t="s">
        <v>23</v>
      </c>
      <c r="E20" s="17">
        <v>1</v>
      </c>
      <c r="F20" s="17" t="s">
        <v>23</v>
      </c>
      <c r="G20" s="17"/>
      <c r="H20" s="17"/>
      <c r="I20" s="2"/>
      <c r="J20" s="2"/>
      <c r="K20" s="2"/>
      <c r="L20" s="25"/>
      <c r="M20" s="29" t="s">
        <v>38</v>
      </c>
      <c r="N20" s="29">
        <f>SUM(N15:N19)</f>
        <v>60.3</v>
      </c>
      <c r="O20" s="29">
        <f>SUM(O15:O19)</f>
        <v>24.2</v>
      </c>
      <c r="P20" s="29">
        <f>SUM(P15:P19)</f>
        <v>161.30000000000001</v>
      </c>
    </row>
    <row r="21" spans="1:16" x14ac:dyDescent="0.25">
      <c r="A21" s="17"/>
      <c r="B21" s="17"/>
      <c r="C21" s="17"/>
      <c r="D21" s="17"/>
      <c r="E21" s="17"/>
      <c r="F21" s="17"/>
      <c r="G21" s="17"/>
      <c r="H21" s="17"/>
      <c r="I21" s="2"/>
      <c r="J21" s="2"/>
      <c r="K21" s="2"/>
      <c r="L21" s="25"/>
      <c r="M21" s="25"/>
      <c r="N21" s="25"/>
      <c r="O21" s="25"/>
      <c r="P21" s="25"/>
    </row>
    <row r="22" spans="1:16" x14ac:dyDescent="0.25">
      <c r="A22" s="25"/>
      <c r="B22" s="25"/>
      <c r="C22" s="25"/>
      <c r="D22" s="25"/>
      <c r="E22" s="25"/>
      <c r="F22" s="25"/>
      <c r="G22" s="25"/>
      <c r="H22" s="25"/>
      <c r="I22" s="25"/>
      <c r="J22" s="25"/>
      <c r="K22" s="25"/>
      <c r="L22" s="25"/>
      <c r="M22" s="25"/>
      <c r="N22" s="25"/>
      <c r="O22" s="25"/>
      <c r="P22" s="25"/>
    </row>
    <row r="23" spans="1:16" ht="23.25" x14ac:dyDescent="0.35">
      <c r="A23" s="26">
        <v>43481</v>
      </c>
      <c r="B23" s="25"/>
      <c r="C23" s="25"/>
      <c r="D23" s="25"/>
      <c r="E23" s="25"/>
      <c r="F23" s="25"/>
      <c r="G23" s="25"/>
      <c r="H23" s="25"/>
      <c r="I23" s="25"/>
      <c r="J23" s="25"/>
      <c r="K23" s="25"/>
      <c r="L23" s="25"/>
      <c r="M23" s="25"/>
      <c r="N23" s="25"/>
      <c r="O23" s="25"/>
      <c r="P23" s="25"/>
    </row>
    <row r="24" spans="1:16" ht="18" thickBot="1" x14ac:dyDescent="0.35">
      <c r="A24" s="3" t="s">
        <v>48</v>
      </c>
      <c r="B24" s="3" t="s">
        <v>0</v>
      </c>
      <c r="C24" s="3" t="s">
        <v>36</v>
      </c>
      <c r="D24" s="3" t="s">
        <v>8</v>
      </c>
      <c r="E24" s="5" t="s">
        <v>9</v>
      </c>
      <c r="F24" s="5" t="s">
        <v>10</v>
      </c>
      <c r="G24" s="27"/>
      <c r="H24" s="28"/>
      <c r="I24" s="25"/>
      <c r="J24" s="25"/>
      <c r="K24" s="25"/>
      <c r="L24" s="25"/>
      <c r="M24" s="27"/>
      <c r="N24" s="29" t="s">
        <v>8</v>
      </c>
      <c r="O24" s="29" t="s">
        <v>9</v>
      </c>
      <c r="P24" s="29" t="s">
        <v>10</v>
      </c>
    </row>
    <row r="25" spans="1:16" ht="15.75" thickTop="1" x14ac:dyDescent="0.25">
      <c r="A25" s="18">
        <v>43479</v>
      </c>
      <c r="B25" s="16">
        <f>IFERROR(VLOOKUP(A25,OverviewTable[],2,FALSE),"?")</f>
        <v>125.4</v>
      </c>
      <c r="C25" s="16" t="str">
        <f>((N30 * 4) + (O30 * 9) + (P30 * 4))&amp;"/"&amp;IFERROR(VLOOKUP(A25,OverviewTable[],11,FALSE),"?")</f>
        <v>2388.5/2256.4</v>
      </c>
      <c r="D25" s="16" t="str">
        <f>N30&amp;"/"&amp;IFERROR(VLOOKUP(A25,OverviewTable[],12,FALSE),"?")</f>
        <v>129.7/125</v>
      </c>
      <c r="E25" s="16" t="str">
        <f>O30&amp;"/"&amp;IFERROR(VLOOKUP(A25,OverviewTable[],13,FALSE),"?")</f>
        <v>86.9/63</v>
      </c>
      <c r="F25" s="16" t="str">
        <f>P30&amp;"/"&amp;IFERROR(VLOOKUP(A25,OverviewTable[],14,FALSE),"?")</f>
        <v>271.9/297</v>
      </c>
      <c r="G25" s="28"/>
      <c r="H25" s="28"/>
      <c r="I25" s="25"/>
      <c r="J25" s="25"/>
      <c r="K25" s="25"/>
      <c r="L25" s="25"/>
      <c r="M25" s="29" t="s">
        <v>6</v>
      </c>
      <c r="N25" s="29">
        <f>(A28 * IFERROR(VLOOKUP(B28,BreakfastTable[],2,FALSE),0)) + (A29 * IFERROR(VLOOKUP(B29,BreakfastTable[],2,FALSE),0)) + (A30 * IFERROR(VLOOKUP(B30,BreakfastTable[],2,FALSE),0)) + (A31 * IFERROR(VLOOKUP(B31,BreakfastTable[],2,FALSE),0))</f>
        <v>20</v>
      </c>
      <c r="O25" s="29">
        <f>(A28 * IFERROR(VLOOKUP(B28,BreakfastTable[],3,FALSE),0)) + (A29 * IFERROR(VLOOKUP(B29,BreakfastTable[],3,FALSE),0)) + (A30 * IFERROR(VLOOKUP(B30,BreakfastTable[],3,FALSE),0)) + (A31 * IFERROR(VLOOKUP(B31,BreakfastTable[],3,FALSE),0))</f>
        <v>9</v>
      </c>
      <c r="P25" s="29">
        <f>(A28 * IFERROR(VLOOKUP(B28,BreakfastTable[],4,FALSE),0)) + (A29 * IFERROR(VLOOKUP(B29,BreakfastTable[],4,FALSE),0)) + (A30 * IFERROR(VLOOKUP(B30,BreakfastTable[],4,FALSE),0)) + (A31 * IFERROR(VLOOKUP(B31,BreakfastTable[],4,FALSE),0))</f>
        <v>30</v>
      </c>
    </row>
    <row r="26" spans="1:16" x14ac:dyDescent="0.25">
      <c r="A26" s="17"/>
      <c r="B26" s="17"/>
      <c r="C26" s="17"/>
      <c r="D26" s="17"/>
      <c r="E26" s="17"/>
      <c r="F26" s="17"/>
      <c r="G26" s="28"/>
      <c r="H26" s="28"/>
      <c r="I26" s="25"/>
      <c r="J26" s="25"/>
      <c r="K26" s="25"/>
      <c r="L26" s="25"/>
      <c r="M26" s="29" t="s">
        <v>11</v>
      </c>
      <c r="N26" s="29">
        <f>(C28 * IFERROR(VLOOKUP(D28,LunchTable[],2,FALSE),0)) + (C29 * IFERROR(VLOOKUP(D29,LunchTable[],2,FALSE),0)) + (C30 * IFERROR(VLOOKUP(D30,LunchTable[],2,FALSE),0)) + (C31 * IFERROR(VLOOKUP(D31,LunchTable[],2,FALSE),0))</f>
        <v>48</v>
      </c>
      <c r="O26" s="29">
        <f>(C28 * IFERROR(VLOOKUP(D28,LunchTable[],3,FALSE),0)) + (C29 * IFERROR(VLOOKUP(D29,LunchTable[],3,FALSE),0)) + (C30 * IFERROR(VLOOKUP(D30,LunchTable[],3,FALSE),0)) + (C31 * IFERROR(VLOOKUP(D31,LunchTable[],3,FALSE),0))</f>
        <v>62</v>
      </c>
      <c r="P26" s="29">
        <f>(C28 * IFERROR(VLOOKUP(D28,LunchTable[],4,FALSE),0)) + (C29 * IFERROR(VLOOKUP(D29,LunchTable[],4,FALSE),0)) + (C30 * IFERROR(VLOOKUP(D30,LunchTable[],4,FALSE),0)) + (C31 * IFERROR(VLOOKUP(D31,LunchTable[],4,FALSE),0))</f>
        <v>169</v>
      </c>
    </row>
    <row r="27" spans="1:16" ht="18" thickBot="1" x14ac:dyDescent="0.35">
      <c r="A27" s="10" t="s">
        <v>34</v>
      </c>
      <c r="B27" s="11" t="s">
        <v>6</v>
      </c>
      <c r="C27" s="10" t="s">
        <v>34</v>
      </c>
      <c r="D27" s="11" t="s">
        <v>11</v>
      </c>
      <c r="E27" s="10" t="s">
        <v>34</v>
      </c>
      <c r="F27" s="11" t="s">
        <v>12</v>
      </c>
      <c r="G27" s="10" t="s">
        <v>34</v>
      </c>
      <c r="H27" s="12" t="s">
        <v>35</v>
      </c>
      <c r="I27" s="5" t="s">
        <v>41</v>
      </c>
      <c r="J27" s="5" t="s">
        <v>42</v>
      </c>
      <c r="K27" s="5" t="s">
        <v>43</v>
      </c>
      <c r="L27" s="25"/>
      <c r="M27" s="29" t="s">
        <v>12</v>
      </c>
      <c r="N27" s="29">
        <f>(E28 * IFERROR(VLOOKUP(F28,DinnerTable[],2,FALSE),0)) + (E29 * IFERROR(VLOOKUP(F29,DinnerTable[],2,FALSE),0)) + (E30 * IFERROR(VLOOKUP(F30,DinnerTable[],2,FALSE),0)) + (E31 * IFERROR(VLOOKUP(F31,DinnerTable[],2,FALSE),0))</f>
        <v>29.5</v>
      </c>
      <c r="O27" s="29">
        <f>(E28 * IFERROR(VLOOKUP(F28,DinnerTable[],3,FALSE),0)) + (E29 * IFERROR(VLOOKUP(F29,DinnerTable[],3,FALSE),0)) + (E30 * IFERROR(VLOOKUP(F30,DinnerTable[],3,FALSE),0)) + (E31 * IFERROR(VLOOKUP(F31,DinnerTable[],3,FALSE),0))</f>
        <v>1</v>
      </c>
      <c r="P27" s="29">
        <f>(E28 * IFERROR(VLOOKUP(F28,DinnerTable[],4,FALSE),0)) + (E29 * IFERROR(VLOOKUP(F29,DinnerTable[],4,FALSE),0)) + (E30 * IFERROR(VLOOKUP(F30,DinnerTable[],4,FALSE),0)) + (E31 * IFERROR(VLOOKUP(F31,DinnerTable[],4,FALSE),0))</f>
        <v>22.5</v>
      </c>
    </row>
    <row r="28" spans="1:16" ht="15.75" thickTop="1" x14ac:dyDescent="0.25">
      <c r="A28" s="17">
        <v>1</v>
      </c>
      <c r="B28" s="17" t="s">
        <v>26</v>
      </c>
      <c r="C28" s="17">
        <v>1</v>
      </c>
      <c r="D28" s="17" t="s">
        <v>24</v>
      </c>
      <c r="E28" s="17">
        <v>1</v>
      </c>
      <c r="F28" s="17" t="s">
        <v>50</v>
      </c>
      <c r="G28" s="17">
        <v>1</v>
      </c>
      <c r="H28" s="17" t="s">
        <v>96</v>
      </c>
      <c r="I28" s="2"/>
      <c r="J28" s="2"/>
      <c r="K28" s="2"/>
      <c r="L28" s="25"/>
      <c r="M28" s="29" t="s">
        <v>35</v>
      </c>
      <c r="N28" s="29">
        <f>(G28 * IFERROR(VLOOKUP(H28,PostWorkoutTable[],2,FALSE),0)) + (G29 * IFERROR(VLOOKUP(H29,PostWorkoutTable[],2,FALSE),0)) + (G30 * IFERROR(VLOOKUP(H30,PostWorkoutTable[],2,FALSE),0)) + (G31 * IFERROR(VLOOKUP(H31,PostWorkoutTable[],2,FALSE),0))</f>
        <v>32.200000000000003</v>
      </c>
      <c r="O28" s="29">
        <f>(G28 * IFERROR(VLOOKUP(H28,PostWorkoutTable[],3,FALSE),0)) + (G29 * IFERROR(VLOOKUP(H29,PostWorkoutTable[],3,FALSE),0)) + (G30 * IFERROR(VLOOKUP(H30,PostWorkoutTable[],3,FALSE),0)) + (G31 * IFERROR(VLOOKUP(H31,PostWorkoutTable[],3,FALSE),0))</f>
        <v>14.9</v>
      </c>
      <c r="P28" s="29">
        <f>(G28 * IFERROR(VLOOKUP(H28,PostWorkoutTable[],4,FALSE),0)) + (G29 * IFERROR(VLOOKUP(H29,PostWorkoutTable[],4,FALSE),0)) + (G30 * IFERROR(VLOOKUP(H30,PostWorkoutTable[],4,FALSE),0)) + (G31 * IFERROR(VLOOKUP(H31,PostWorkoutTable[],4,FALSE),0))</f>
        <v>50.4</v>
      </c>
    </row>
    <row r="29" spans="1:16" x14ac:dyDescent="0.25">
      <c r="A29" s="17"/>
      <c r="B29" s="17"/>
      <c r="C29" s="17">
        <v>1</v>
      </c>
      <c r="D29" s="17" t="s">
        <v>55</v>
      </c>
      <c r="E29" s="17">
        <v>0.5</v>
      </c>
      <c r="F29" s="17" t="s">
        <v>32</v>
      </c>
      <c r="G29" s="17"/>
      <c r="H29" s="17"/>
      <c r="I29" s="2"/>
      <c r="J29" s="2"/>
      <c r="K29" s="2"/>
      <c r="L29" s="25"/>
      <c r="M29" s="29" t="s">
        <v>21</v>
      </c>
      <c r="N29" s="29">
        <f xml:space="preserve"> SUM(I28:I31)</f>
        <v>0</v>
      </c>
      <c r="O29" s="29">
        <f>SUM(J28:J31)</f>
        <v>0</v>
      </c>
      <c r="P29" s="29">
        <f>SUM(K28:K31)</f>
        <v>0</v>
      </c>
    </row>
    <row r="30" spans="1:16" x14ac:dyDescent="0.25">
      <c r="A30" s="17"/>
      <c r="B30" s="17"/>
      <c r="C30" s="17">
        <v>1</v>
      </c>
      <c r="D30" s="17" t="s">
        <v>54</v>
      </c>
      <c r="E30" s="17"/>
      <c r="F30" s="17"/>
      <c r="G30" s="17"/>
      <c r="H30" s="17"/>
      <c r="I30" s="2"/>
      <c r="J30" s="2"/>
      <c r="K30" s="2"/>
      <c r="L30" s="25"/>
      <c r="M30" s="29" t="s">
        <v>38</v>
      </c>
      <c r="N30" s="29">
        <f>SUM(N25:N29)</f>
        <v>129.69999999999999</v>
      </c>
      <c r="O30" s="29">
        <f>SUM(O25:O29)</f>
        <v>86.9</v>
      </c>
      <c r="P30" s="29">
        <f>SUM(P25:P29)</f>
        <v>271.89999999999998</v>
      </c>
    </row>
    <row r="31" spans="1:16" x14ac:dyDescent="0.25">
      <c r="A31" s="17"/>
      <c r="B31" s="17"/>
      <c r="C31" s="17"/>
      <c r="D31" s="17"/>
      <c r="E31" s="17"/>
      <c r="F31" s="17"/>
      <c r="G31" s="17"/>
      <c r="H31" s="17"/>
      <c r="I31" s="2"/>
      <c r="J31" s="2"/>
      <c r="K31" s="2"/>
      <c r="L31" s="25"/>
      <c r="M31" s="25"/>
      <c r="N31" s="25"/>
      <c r="O31" s="25"/>
      <c r="P31" s="25"/>
    </row>
    <row r="32" spans="1:16" x14ac:dyDescent="0.25">
      <c r="A32" s="25"/>
      <c r="B32" s="25"/>
      <c r="C32" s="25"/>
      <c r="D32" s="25"/>
      <c r="E32" s="25"/>
      <c r="F32" s="25"/>
      <c r="G32" s="25"/>
      <c r="H32" s="25"/>
      <c r="I32" s="25"/>
      <c r="J32" s="25"/>
      <c r="K32" s="25"/>
      <c r="L32" s="25"/>
      <c r="M32" s="25"/>
      <c r="N32" s="25"/>
      <c r="O32" s="25"/>
      <c r="P32" s="25"/>
    </row>
    <row r="33" spans="1:16" ht="23.25" x14ac:dyDescent="0.35">
      <c r="A33" s="26">
        <v>43482</v>
      </c>
      <c r="B33" s="25"/>
      <c r="C33" s="25"/>
      <c r="D33" s="25"/>
      <c r="E33" s="25"/>
      <c r="F33" s="25"/>
      <c r="G33" s="25"/>
      <c r="H33" s="25"/>
      <c r="I33" s="25"/>
      <c r="J33" s="25"/>
      <c r="K33" s="25"/>
      <c r="L33" s="25"/>
      <c r="M33" s="25"/>
      <c r="N33" s="25"/>
      <c r="O33" s="25"/>
      <c r="P33" s="25"/>
    </row>
    <row r="34" spans="1:16" ht="18" thickBot="1" x14ac:dyDescent="0.35">
      <c r="A34" s="3" t="s">
        <v>48</v>
      </c>
      <c r="B34" s="3" t="s">
        <v>0</v>
      </c>
      <c r="C34" s="3" t="s">
        <v>36</v>
      </c>
      <c r="D34" s="3" t="s">
        <v>8</v>
      </c>
      <c r="E34" s="5" t="s">
        <v>9</v>
      </c>
      <c r="F34" s="5" t="s">
        <v>10</v>
      </c>
      <c r="G34" s="27"/>
      <c r="H34" s="28"/>
      <c r="I34" s="25"/>
      <c r="J34" s="25"/>
      <c r="K34" s="25"/>
      <c r="L34" s="25"/>
      <c r="M34" s="27"/>
      <c r="N34" s="29" t="s">
        <v>8</v>
      </c>
      <c r="O34" s="29" t="s">
        <v>9</v>
      </c>
      <c r="P34" s="29" t="s">
        <v>10</v>
      </c>
    </row>
    <row r="35" spans="1:16" ht="15.75" thickTop="1" x14ac:dyDescent="0.25">
      <c r="A35" s="18">
        <v>43479</v>
      </c>
      <c r="B35" s="16">
        <f>IFERROR(VLOOKUP(A35,OverviewTable[],2,FALSE),"?")</f>
        <v>125.4</v>
      </c>
      <c r="C35" s="16" t="str">
        <f>((N40 * 4) + (O40 * 9) + (P40 * 4))&amp;"/"&amp;IFERROR(VLOOKUP(A35,OverviewTable[],11,FALSE),"?")</f>
        <v>1282.47/2256.4</v>
      </c>
      <c r="D35" s="16" t="str">
        <f>N40&amp;"/"&amp;IFERROR(VLOOKUP(A35,OverviewTable[],12,FALSE),"?")</f>
        <v>140.41/125</v>
      </c>
      <c r="E35" s="16" t="str">
        <f>O40&amp;"/"&amp;IFERROR(VLOOKUP(A35,OverviewTable[],13,FALSE),"?")</f>
        <v>32.67/63</v>
      </c>
      <c r="F35" s="16" t="str">
        <f>P40&amp;"/"&amp;IFERROR(VLOOKUP(A35,OverviewTable[],14,FALSE),"?")</f>
        <v>106.7/297</v>
      </c>
      <c r="G35" s="28"/>
      <c r="H35" s="28"/>
      <c r="I35" s="25"/>
      <c r="J35" s="25"/>
      <c r="K35" s="25"/>
      <c r="L35" s="25"/>
      <c r="M35" s="29" t="s">
        <v>6</v>
      </c>
      <c r="N35" s="29">
        <f>(A38 * IFERROR(VLOOKUP(B38,BreakfastTable[],2,FALSE),0)) + (A39 * IFERROR(VLOOKUP(B39,BreakfastTable[],2,FALSE),0)) + (A40 * IFERROR(VLOOKUP(B40,BreakfastTable[],2,FALSE),0)) + (A41 * IFERROR(VLOOKUP(B41,BreakfastTable[],2,FALSE),0))</f>
        <v>20</v>
      </c>
      <c r="O35" s="29">
        <f>(A38 * IFERROR(VLOOKUP(B38,BreakfastTable[],3,FALSE),0)) + (A39 * IFERROR(VLOOKUP(B39,BreakfastTable[],3,FALSE),0)) + (A40 * IFERROR(VLOOKUP(B40,BreakfastTable[],3,FALSE),0)) + (A41 * IFERROR(VLOOKUP(B41,BreakfastTable[],3,FALSE),0))</f>
        <v>9</v>
      </c>
      <c r="P35" s="29">
        <f>(A38 * IFERROR(VLOOKUP(B38,BreakfastTable[],4,FALSE),0)) + (A39 * IFERROR(VLOOKUP(B39,BreakfastTable[],4,FALSE),0)) + (A40 * IFERROR(VLOOKUP(B40,BreakfastTable[],4,FALSE),0)) + (A41 * IFERROR(VLOOKUP(B41,BreakfastTable[],4,FALSE),0))</f>
        <v>30</v>
      </c>
    </row>
    <row r="36" spans="1:16" x14ac:dyDescent="0.25">
      <c r="A36" s="17"/>
      <c r="B36" s="17"/>
      <c r="C36" s="17"/>
      <c r="D36" s="17"/>
      <c r="E36" s="17"/>
      <c r="F36" s="17"/>
      <c r="G36" s="28"/>
      <c r="H36" s="28"/>
      <c r="I36" s="25"/>
      <c r="J36" s="25"/>
      <c r="K36" s="25"/>
      <c r="L36" s="25"/>
      <c r="M36" s="29" t="s">
        <v>11</v>
      </c>
      <c r="N36" s="29">
        <f>(C38 * IFERROR(VLOOKUP(D38,LunchTable[],2,FALSE),0)) + (C39 * IFERROR(VLOOKUP(D39,LunchTable[],2,FALSE),0)) + (C40 * IFERROR(VLOOKUP(D40,LunchTable[],2,FALSE),0)) + (C41 * IFERROR(VLOOKUP(D41,LunchTable[],2,FALSE),0))</f>
        <v>67.660000000000011</v>
      </c>
      <c r="O36" s="29">
        <f>(C38 * IFERROR(VLOOKUP(D38,LunchTable[],3,FALSE),0)) + (C39 * IFERROR(VLOOKUP(D39,LunchTable[],3,FALSE),0)) + (C40 * IFERROR(VLOOKUP(D40,LunchTable[],3,FALSE),0)) + (C41 * IFERROR(VLOOKUP(D41,LunchTable[],3,FALSE),0))</f>
        <v>19.920000000000002</v>
      </c>
      <c r="P36" s="29">
        <f>(C38 * IFERROR(VLOOKUP(D38,LunchTable[],4,FALSE),0)) + (C39 * IFERROR(VLOOKUP(D39,LunchTable[],4,FALSE),0)) + (C40 * IFERROR(VLOOKUP(D40,LunchTable[],4,FALSE),0)) + (C41 * IFERROR(VLOOKUP(D41,LunchTable[],4,FALSE),0))</f>
        <v>67.2</v>
      </c>
    </row>
    <row r="37" spans="1:16" ht="18" thickBot="1" x14ac:dyDescent="0.35">
      <c r="A37" s="10" t="s">
        <v>34</v>
      </c>
      <c r="B37" s="11" t="s">
        <v>6</v>
      </c>
      <c r="C37" s="10" t="s">
        <v>34</v>
      </c>
      <c r="D37" s="11" t="s">
        <v>11</v>
      </c>
      <c r="E37" s="10" t="s">
        <v>34</v>
      </c>
      <c r="F37" s="11" t="s">
        <v>12</v>
      </c>
      <c r="G37" s="10" t="s">
        <v>34</v>
      </c>
      <c r="H37" s="12" t="s">
        <v>35</v>
      </c>
      <c r="I37" s="5" t="s">
        <v>41</v>
      </c>
      <c r="J37" s="5" t="s">
        <v>42</v>
      </c>
      <c r="K37" s="5" t="s">
        <v>43</v>
      </c>
      <c r="L37" s="25"/>
      <c r="M37" s="29" t="s">
        <v>12</v>
      </c>
      <c r="N37" s="29">
        <f>(E38 * IFERROR(VLOOKUP(F38,DinnerTable[],2,FALSE),0)) + (E39 * IFERROR(VLOOKUP(F39,DinnerTable[],2,FALSE),0)) + (E40 * IFERROR(VLOOKUP(F40,DinnerTable[],2,FALSE),0)) + (E41 * IFERROR(VLOOKUP(F41,DinnerTable[],2,FALSE),0))</f>
        <v>52.75</v>
      </c>
      <c r="O37" s="29">
        <f>(E38 * IFERROR(VLOOKUP(F38,DinnerTable[],3,FALSE),0)) + (E39 * IFERROR(VLOOKUP(F39,DinnerTable[],3,FALSE),0)) + (E40 * IFERROR(VLOOKUP(F40,DinnerTable[],3,FALSE),0)) + (E41 * IFERROR(VLOOKUP(F41,DinnerTable[],3,FALSE),0))</f>
        <v>3.75</v>
      </c>
      <c r="P37" s="29">
        <f>(E38 * IFERROR(VLOOKUP(F38,DinnerTable[],4,FALSE),0)) + (E39 * IFERROR(VLOOKUP(F39,DinnerTable[],4,FALSE),0)) + (E40 * IFERROR(VLOOKUP(F40,DinnerTable[],4,FALSE),0)) + (E41 * IFERROR(VLOOKUP(F41,DinnerTable[],4,FALSE),0))</f>
        <v>9.5</v>
      </c>
    </row>
    <row r="38" spans="1:16" ht="15.75" thickTop="1" x14ac:dyDescent="0.25">
      <c r="A38" s="17">
        <v>1</v>
      </c>
      <c r="B38" s="17" t="s">
        <v>26</v>
      </c>
      <c r="C38" s="17">
        <v>3</v>
      </c>
      <c r="D38" s="17" t="s">
        <v>22</v>
      </c>
      <c r="E38" s="17">
        <v>0.5</v>
      </c>
      <c r="F38" s="17" t="s">
        <v>53</v>
      </c>
      <c r="G38" s="17"/>
      <c r="H38" s="17"/>
      <c r="I38" s="2"/>
      <c r="J38" s="2"/>
      <c r="K38" s="2"/>
      <c r="L38" s="25"/>
      <c r="M38" s="29" t="s">
        <v>35</v>
      </c>
      <c r="N38" s="29">
        <f>(G38 * IFERROR(VLOOKUP(H38,PostWorkoutTable[],2,FALSE),0)) + (G39 * IFERROR(VLOOKUP(H39,PostWorkoutTable[],2,FALSE),0)) + (G40 * IFERROR(VLOOKUP(H40,PostWorkoutTable[],2,FALSE),0)) + (G41 * IFERROR(VLOOKUP(H41,PostWorkoutTable[],2,FALSE),0))</f>
        <v>0</v>
      </c>
      <c r="O38" s="29">
        <f>(G38 * IFERROR(VLOOKUP(H38,PostWorkoutTable[],3,FALSE),0)) + (G39 * IFERROR(VLOOKUP(H39,PostWorkoutTable[],3,FALSE),0)) + (G40 * IFERROR(VLOOKUP(H40,PostWorkoutTable[],3,FALSE),0)) + (G41 * IFERROR(VLOOKUP(H41,PostWorkoutTable[],3,FALSE),0))</f>
        <v>0</v>
      </c>
      <c r="P38" s="29">
        <f>(G38 * IFERROR(VLOOKUP(H38,PostWorkoutTable[],4,FALSE),0)) + (G39 * IFERROR(VLOOKUP(H39,PostWorkoutTable[],4,FALSE),0)) + (G40 * IFERROR(VLOOKUP(H40,PostWorkoutTable[],4,FALSE),0)) + (G41 * IFERROR(VLOOKUP(H41,PostWorkoutTable[],4,FALSE),0))</f>
        <v>0</v>
      </c>
    </row>
    <row r="39" spans="1:16" x14ac:dyDescent="0.25">
      <c r="A39" s="17"/>
      <c r="B39" s="17"/>
      <c r="C39" s="17">
        <v>0.33</v>
      </c>
      <c r="D39" s="17" t="s">
        <v>51</v>
      </c>
      <c r="E39" s="17">
        <v>0.5</v>
      </c>
      <c r="F39" s="17" t="s">
        <v>30</v>
      </c>
      <c r="G39" s="17"/>
      <c r="H39" s="17"/>
      <c r="I39" s="2"/>
      <c r="J39" s="2"/>
      <c r="K39" s="2"/>
      <c r="L39" s="25"/>
      <c r="M39" s="29" t="s">
        <v>21</v>
      </c>
      <c r="N39" s="29">
        <f xml:space="preserve"> SUM(I38:I41)</f>
        <v>0</v>
      </c>
      <c r="O39" s="29">
        <f>SUM(J38:J41)</f>
        <v>0</v>
      </c>
      <c r="P39" s="29">
        <f>SUM(K38:K41)</f>
        <v>0</v>
      </c>
    </row>
    <row r="40" spans="1:16" x14ac:dyDescent="0.25">
      <c r="A40" s="17"/>
      <c r="B40" s="17"/>
      <c r="C40" s="17">
        <v>0.33</v>
      </c>
      <c r="D40" s="17" t="s">
        <v>52</v>
      </c>
      <c r="E40" s="17"/>
      <c r="F40" s="17"/>
      <c r="G40" s="17"/>
      <c r="H40" s="17"/>
      <c r="I40" s="2"/>
      <c r="J40" s="2"/>
      <c r="K40" s="2"/>
      <c r="L40" s="25"/>
      <c r="M40" s="29" t="s">
        <v>38</v>
      </c>
      <c r="N40" s="29">
        <f>SUM(N35:N39)</f>
        <v>140.41000000000003</v>
      </c>
      <c r="O40" s="29">
        <f>SUM(O35:O39)</f>
        <v>32.67</v>
      </c>
      <c r="P40" s="29">
        <f>SUM(P35:P39)</f>
        <v>106.7</v>
      </c>
    </row>
    <row r="41" spans="1:16" x14ac:dyDescent="0.25">
      <c r="A41" s="17"/>
      <c r="B41" s="17"/>
      <c r="C41" s="17">
        <v>1</v>
      </c>
      <c r="D41" s="17" t="s">
        <v>90</v>
      </c>
      <c r="E41" s="17"/>
      <c r="F41" s="17"/>
      <c r="G41" s="17"/>
      <c r="H41" s="17"/>
      <c r="I41" s="2"/>
      <c r="J41" s="2"/>
      <c r="K41" s="2"/>
      <c r="L41" s="25"/>
      <c r="M41" s="25"/>
      <c r="N41" s="25"/>
      <c r="O41" s="25"/>
      <c r="P41" s="25"/>
    </row>
    <row r="42" spans="1:16" x14ac:dyDescent="0.25">
      <c r="A42" s="25"/>
      <c r="B42" s="25"/>
      <c r="C42" s="25"/>
      <c r="D42" s="25"/>
      <c r="E42" s="25"/>
      <c r="F42" s="25"/>
      <c r="G42" s="25"/>
      <c r="H42" s="25"/>
      <c r="I42" s="25"/>
      <c r="J42" s="25"/>
      <c r="K42" s="25"/>
      <c r="L42" s="25"/>
      <c r="M42" s="25"/>
      <c r="N42" s="25"/>
      <c r="O42" s="25"/>
      <c r="P42" s="25"/>
    </row>
    <row r="43" spans="1:16" ht="23.25" x14ac:dyDescent="0.35">
      <c r="A43" s="26">
        <v>43483</v>
      </c>
      <c r="B43" s="25"/>
      <c r="C43" s="25"/>
      <c r="D43" s="25"/>
      <c r="E43" s="25"/>
      <c r="F43" s="25"/>
      <c r="G43" s="25"/>
      <c r="H43" s="25"/>
      <c r="I43" s="25"/>
      <c r="J43" s="25"/>
      <c r="K43" s="25"/>
      <c r="L43" s="25"/>
      <c r="M43" s="25"/>
      <c r="N43" s="25"/>
      <c r="O43" s="25"/>
      <c r="P43" s="25"/>
    </row>
    <row r="44" spans="1:16" ht="18" thickBot="1" x14ac:dyDescent="0.35">
      <c r="A44" s="3" t="s">
        <v>48</v>
      </c>
      <c r="B44" s="3" t="s">
        <v>0</v>
      </c>
      <c r="C44" s="3" t="s">
        <v>36</v>
      </c>
      <c r="D44" s="3" t="s">
        <v>8</v>
      </c>
      <c r="E44" s="5" t="s">
        <v>9</v>
      </c>
      <c r="F44" s="5" t="s">
        <v>10</v>
      </c>
      <c r="G44" s="27"/>
      <c r="H44" s="28"/>
      <c r="I44" s="25"/>
      <c r="J44" s="25"/>
      <c r="K44" s="25"/>
      <c r="L44" s="25"/>
      <c r="M44" s="27"/>
      <c r="N44" s="29" t="s">
        <v>8</v>
      </c>
      <c r="O44" s="29" t="s">
        <v>9</v>
      </c>
      <c r="P44" s="29" t="s">
        <v>10</v>
      </c>
    </row>
    <row r="45" spans="1:16" ht="15.75" thickTop="1" x14ac:dyDescent="0.25">
      <c r="A45" s="18">
        <v>43479</v>
      </c>
      <c r="B45" s="16">
        <f>IFERROR(VLOOKUP(A45,OverviewTable[],2,FALSE),"?")</f>
        <v>125.4</v>
      </c>
      <c r="C45" s="16" t="str">
        <f>((N50 * 4) + (O50 * 9) + (P50 * 4))&amp;"/"&amp;IFERROR(VLOOKUP(A45,OverviewTable[],11,FALSE),"?")</f>
        <v>1319/2256.4</v>
      </c>
      <c r="D45" s="16" t="str">
        <f>N50&amp;"/"&amp;IFERROR(VLOOKUP(A45,OverviewTable[],12,FALSE),"?")</f>
        <v>89/125</v>
      </c>
      <c r="E45" s="16" t="str">
        <f>O50&amp;"/"&amp;IFERROR(VLOOKUP(A45,OverviewTable[],13,FALSE),"?")</f>
        <v>53/63</v>
      </c>
      <c r="F45" s="16" t="str">
        <f>P50&amp;"/"&amp;IFERROR(VLOOKUP(A45,OverviewTable[],14,FALSE),"?")</f>
        <v>121.5/297</v>
      </c>
      <c r="G45" s="28"/>
      <c r="H45" s="28"/>
      <c r="I45" s="25"/>
      <c r="J45" s="25"/>
      <c r="K45" s="25"/>
      <c r="L45" s="25"/>
      <c r="M45" s="29" t="s">
        <v>6</v>
      </c>
      <c r="N45" s="29">
        <f>(A48 * IFERROR(VLOOKUP(B48,BreakfastTable[],2,FALSE),0)) + (A49 * IFERROR(VLOOKUP(B49,BreakfastTable[],2,FALSE),0)) + (A50 * IFERROR(VLOOKUP(B50,BreakfastTable[],2,FALSE),0)) + (A51 * IFERROR(VLOOKUP(B51,BreakfastTable[],2,FALSE),0))</f>
        <v>20</v>
      </c>
      <c r="O45" s="29">
        <f>(A48 * IFERROR(VLOOKUP(B48,BreakfastTable[],3,FALSE),0)) + (A49 * IFERROR(VLOOKUP(B49,BreakfastTable[],3,FALSE),0)) + (A50 * IFERROR(VLOOKUP(B50,BreakfastTable[],3,FALSE),0)) + (A51 * IFERROR(VLOOKUP(B51,BreakfastTable[],3,FALSE),0))</f>
        <v>9</v>
      </c>
      <c r="P45" s="29">
        <f>(A48 * IFERROR(VLOOKUP(B48,BreakfastTable[],4,FALSE),0)) + (A49 * IFERROR(VLOOKUP(B49,BreakfastTable[],4,FALSE),0)) + (A50 * IFERROR(VLOOKUP(B50,BreakfastTable[],4,FALSE),0)) + (A51 * IFERROR(VLOOKUP(B51,BreakfastTable[],4,FALSE),0))</f>
        <v>30</v>
      </c>
    </row>
    <row r="46" spans="1:16" x14ac:dyDescent="0.25">
      <c r="A46" s="17"/>
      <c r="B46" s="17"/>
      <c r="C46" s="17"/>
      <c r="D46" s="17"/>
      <c r="E46" s="17"/>
      <c r="F46" s="17"/>
      <c r="G46" s="28"/>
      <c r="H46" s="28"/>
      <c r="I46" s="25"/>
      <c r="J46" s="25"/>
      <c r="K46" s="25"/>
      <c r="L46" s="25"/>
      <c r="M46" s="29" t="s">
        <v>11</v>
      </c>
      <c r="N46" s="29">
        <f>(C48 * IFERROR(VLOOKUP(D48,LunchTable[],2,FALSE),0)) + (C49 * IFERROR(VLOOKUP(D49,LunchTable[],2,FALSE),0)) + (C50 * IFERROR(VLOOKUP(D50,LunchTable[],2,FALSE),0)) + (C51 * IFERROR(VLOOKUP(D51,LunchTable[],2,FALSE),0))</f>
        <v>0</v>
      </c>
      <c r="O46" s="29">
        <f>(C48 * IFERROR(VLOOKUP(D48,LunchTable[],3,FALSE),0)) + (C49 * IFERROR(VLOOKUP(D49,LunchTable[],3,FALSE),0)) + (C50 * IFERROR(VLOOKUP(D50,LunchTable[],3,FALSE),0)) + (C51 * IFERROR(VLOOKUP(D51,LunchTable[],3,FALSE),0))</f>
        <v>0</v>
      </c>
      <c r="P46" s="29">
        <f>(C48 * IFERROR(VLOOKUP(D48,LunchTable[],4,FALSE),0)) + (C49 * IFERROR(VLOOKUP(D49,LunchTable[],4,FALSE),0)) + (C50 * IFERROR(VLOOKUP(D50,LunchTable[],4,FALSE),0)) + (C51 * IFERROR(VLOOKUP(D51,LunchTable[],4,FALSE),0))</f>
        <v>0</v>
      </c>
    </row>
    <row r="47" spans="1:16" ht="18" thickBot="1" x14ac:dyDescent="0.35">
      <c r="A47" s="10" t="s">
        <v>34</v>
      </c>
      <c r="B47" s="11" t="s">
        <v>6</v>
      </c>
      <c r="C47" s="10" t="s">
        <v>34</v>
      </c>
      <c r="D47" s="11" t="s">
        <v>11</v>
      </c>
      <c r="E47" s="10" t="s">
        <v>34</v>
      </c>
      <c r="F47" s="11" t="s">
        <v>12</v>
      </c>
      <c r="G47" s="10" t="s">
        <v>34</v>
      </c>
      <c r="H47" s="12" t="s">
        <v>35</v>
      </c>
      <c r="I47" s="5" t="s">
        <v>41</v>
      </c>
      <c r="J47" s="5" t="s">
        <v>42</v>
      </c>
      <c r="K47" s="5" t="s">
        <v>43</v>
      </c>
      <c r="L47" s="25"/>
      <c r="M47" s="29" t="s">
        <v>12</v>
      </c>
      <c r="N47" s="29">
        <f>(E48 * IFERROR(VLOOKUP(F48,DinnerTable[],2,FALSE),0)) + (E49 * IFERROR(VLOOKUP(F49,DinnerTable[],2,FALSE),0)) + (E50 * IFERROR(VLOOKUP(F50,DinnerTable[],2,FALSE),0)) + (E51 * IFERROR(VLOOKUP(F51,DinnerTable[],2,FALSE),0))</f>
        <v>46</v>
      </c>
      <c r="O47" s="29">
        <f>(E48 * IFERROR(VLOOKUP(F48,DinnerTable[],3,FALSE),0)) + (E49 * IFERROR(VLOOKUP(F49,DinnerTable[],3,FALSE),0)) + (E50 * IFERROR(VLOOKUP(F50,DinnerTable[],3,FALSE),0)) + (E51 * IFERROR(VLOOKUP(F51,DinnerTable[],3,FALSE),0))</f>
        <v>28</v>
      </c>
      <c r="P47" s="29">
        <f>(E48 * IFERROR(VLOOKUP(F48,DinnerTable[],4,FALSE),0)) + (E49 * IFERROR(VLOOKUP(F49,DinnerTable[],4,FALSE),0)) + (E50 * IFERROR(VLOOKUP(F50,DinnerTable[],4,FALSE),0)) + (E51 * IFERROR(VLOOKUP(F51,DinnerTable[],4,FALSE),0))</f>
        <v>74</v>
      </c>
    </row>
    <row r="48" spans="1:16" ht="15.75" thickTop="1" x14ac:dyDescent="0.25">
      <c r="A48" s="17">
        <v>1</v>
      </c>
      <c r="B48" s="17" t="s">
        <v>26</v>
      </c>
      <c r="C48" s="17"/>
      <c r="D48" s="17"/>
      <c r="E48" s="17">
        <v>2</v>
      </c>
      <c r="F48" s="17" t="s">
        <v>31</v>
      </c>
      <c r="G48" s="17"/>
      <c r="H48" s="17"/>
      <c r="I48" s="2">
        <v>23</v>
      </c>
      <c r="J48" s="2">
        <v>16</v>
      </c>
      <c r="K48" s="2">
        <v>17.5</v>
      </c>
      <c r="L48" s="25"/>
      <c r="M48" s="29" t="s">
        <v>35</v>
      </c>
      <c r="N48" s="29">
        <f>(G48 * IFERROR(VLOOKUP(H48,PostWorkoutTable[],2,FALSE),0)) + (G49 * IFERROR(VLOOKUP(H49,PostWorkoutTable[],2,FALSE),0)) + (G50 * IFERROR(VLOOKUP(H50,PostWorkoutTable[],2,FALSE),0)) + (G51 * IFERROR(VLOOKUP(H51,PostWorkoutTable[],2,FALSE),0))</f>
        <v>0</v>
      </c>
      <c r="O48" s="29">
        <f>(G48 * IFERROR(VLOOKUP(H48,PostWorkoutTable[],3,FALSE),0)) + (G49 * IFERROR(VLOOKUP(H49,PostWorkoutTable[],3,FALSE),0)) + (G50 * IFERROR(VLOOKUP(H50,PostWorkoutTable[],3,FALSE),0)) + (G51 * IFERROR(VLOOKUP(H51,PostWorkoutTable[],3,FALSE),0))</f>
        <v>0</v>
      </c>
      <c r="P48" s="29">
        <f>(G48 * IFERROR(VLOOKUP(H48,PostWorkoutTable[],4,FALSE),0)) + (G49 * IFERROR(VLOOKUP(H49,PostWorkoutTable[],4,FALSE),0)) + (G50 * IFERROR(VLOOKUP(H50,PostWorkoutTable[],4,FALSE),0)) + (G51 * IFERROR(VLOOKUP(H51,PostWorkoutTable[],4,FALSE),0))</f>
        <v>0</v>
      </c>
    </row>
    <row r="49" spans="1:16" x14ac:dyDescent="0.25">
      <c r="A49" s="17"/>
      <c r="B49" s="17"/>
      <c r="C49" s="17"/>
      <c r="D49" s="17"/>
      <c r="E49" s="17"/>
      <c r="F49" s="17"/>
      <c r="G49" s="17"/>
      <c r="H49" s="17"/>
      <c r="I49" s="2"/>
      <c r="J49" s="2"/>
      <c r="K49" s="2"/>
      <c r="L49" s="25"/>
      <c r="M49" s="29" t="s">
        <v>21</v>
      </c>
      <c r="N49" s="29">
        <f xml:space="preserve"> SUM(I48:I51)</f>
        <v>23</v>
      </c>
      <c r="O49" s="29">
        <f>SUM(J48:J51)</f>
        <v>16</v>
      </c>
      <c r="P49" s="29">
        <f>SUM(K48:K51)</f>
        <v>17.5</v>
      </c>
    </row>
    <row r="50" spans="1:16" x14ac:dyDescent="0.25">
      <c r="A50" s="17"/>
      <c r="B50" s="17"/>
      <c r="C50" s="17"/>
      <c r="D50" s="17"/>
      <c r="E50" s="17"/>
      <c r="F50" s="17"/>
      <c r="G50" s="17"/>
      <c r="H50" s="17"/>
      <c r="I50" s="2"/>
      <c r="J50" s="2"/>
      <c r="K50" s="2"/>
      <c r="L50" s="25"/>
      <c r="M50" s="29" t="s">
        <v>38</v>
      </c>
      <c r="N50" s="29">
        <f>SUM(N45:N49)</f>
        <v>89</v>
      </c>
      <c r="O50" s="29">
        <f>SUM(O45:O49)</f>
        <v>53</v>
      </c>
      <c r="P50" s="29">
        <f>SUM(P45:P49)</f>
        <v>121.5</v>
      </c>
    </row>
    <row r="51" spans="1:16" x14ac:dyDescent="0.25">
      <c r="A51" s="17"/>
      <c r="B51" s="17"/>
      <c r="C51" s="17"/>
      <c r="D51" s="17"/>
      <c r="E51" s="17"/>
      <c r="F51" s="17"/>
      <c r="G51" s="17"/>
      <c r="H51" s="17"/>
      <c r="I51" s="2"/>
      <c r="J51" s="2"/>
      <c r="K51" s="2"/>
      <c r="L51" s="25"/>
      <c r="M51" s="25"/>
      <c r="N51" s="25"/>
      <c r="O51" s="25"/>
      <c r="P51" s="25"/>
    </row>
    <row r="52" spans="1:16" x14ac:dyDescent="0.25">
      <c r="A52" s="25"/>
      <c r="B52" s="25"/>
      <c r="C52" s="25"/>
      <c r="D52" s="25"/>
      <c r="E52" s="25"/>
      <c r="F52" s="25"/>
      <c r="G52" s="25"/>
      <c r="H52" s="25"/>
      <c r="I52" s="25"/>
      <c r="J52" s="25"/>
      <c r="K52" s="25"/>
      <c r="L52" s="25"/>
      <c r="M52" s="25"/>
      <c r="N52" s="25"/>
      <c r="O52" s="25"/>
      <c r="P52" s="25"/>
    </row>
    <row r="53" spans="1:16" ht="23.25" x14ac:dyDescent="0.35">
      <c r="A53" s="26">
        <v>43484</v>
      </c>
      <c r="B53" s="25"/>
      <c r="C53" s="25"/>
      <c r="D53" s="25"/>
      <c r="E53" s="25"/>
      <c r="F53" s="25"/>
      <c r="G53" s="25"/>
      <c r="H53" s="25"/>
      <c r="I53" s="25"/>
      <c r="J53" s="25"/>
      <c r="K53" s="25"/>
      <c r="L53" s="25"/>
      <c r="M53" s="25"/>
      <c r="N53" s="25"/>
      <c r="O53" s="25"/>
      <c r="P53" s="25"/>
    </row>
    <row r="54" spans="1:16" ht="18" thickBot="1" x14ac:dyDescent="0.35">
      <c r="A54" s="3" t="s">
        <v>48</v>
      </c>
      <c r="B54" s="3" t="s">
        <v>0</v>
      </c>
      <c r="C54" s="3" t="s">
        <v>36</v>
      </c>
      <c r="D54" s="3" t="s">
        <v>8</v>
      </c>
      <c r="E54" s="5" t="s">
        <v>9</v>
      </c>
      <c r="F54" s="5" t="s">
        <v>10</v>
      </c>
      <c r="G54" s="27"/>
      <c r="H54" s="28"/>
      <c r="I54" s="25"/>
      <c r="J54" s="25"/>
      <c r="K54" s="25"/>
      <c r="L54" s="25"/>
      <c r="M54" s="27"/>
      <c r="N54" s="29" t="s">
        <v>8</v>
      </c>
      <c r="O54" s="29" t="s">
        <v>9</v>
      </c>
      <c r="P54" s="29" t="s">
        <v>10</v>
      </c>
    </row>
    <row r="55" spans="1:16" ht="15.75" thickTop="1" x14ac:dyDescent="0.25">
      <c r="A55" s="18">
        <v>43479</v>
      </c>
      <c r="B55" s="16">
        <f>IFERROR(VLOOKUP(A55,OverviewTable[],2,FALSE),"?")</f>
        <v>125.4</v>
      </c>
      <c r="C55" s="16" t="str">
        <f>((N60 * 4) + (O60 * 9) + (P60 * 4))&amp;"/"&amp;IFERROR(VLOOKUP(A55,OverviewTable[],11,FALSE),"?")</f>
        <v>1117.7/2256.4</v>
      </c>
      <c r="D55" s="16" t="str">
        <f>N60&amp;"/"&amp;IFERROR(VLOOKUP(A55,OverviewTable[],12,FALSE),"?")</f>
        <v>95.7/125</v>
      </c>
      <c r="E55" s="16" t="str">
        <f>O60&amp;"/"&amp;IFERROR(VLOOKUP(A55,OverviewTable[],13,FALSE),"?")</f>
        <v>33.7/63</v>
      </c>
      <c r="F55" s="16" t="str">
        <f>P60&amp;"/"&amp;IFERROR(VLOOKUP(A55,OverviewTable[],14,FALSE),"?")</f>
        <v>107.9/297</v>
      </c>
      <c r="G55" s="28"/>
      <c r="H55" s="28"/>
      <c r="I55" s="25"/>
      <c r="J55" s="25"/>
      <c r="K55" s="25"/>
      <c r="L55" s="25"/>
      <c r="M55" s="29" t="s">
        <v>6</v>
      </c>
      <c r="N55" s="29">
        <f>(A58 * IFERROR(VLOOKUP(B58,BreakfastTable[],2,FALSE),0)) + (A59 * IFERROR(VLOOKUP(B59,BreakfastTable[],2,FALSE),0)) + (A60 * IFERROR(VLOOKUP(B60,BreakfastTable[],2,FALSE),0)) + (A61 * IFERROR(VLOOKUP(B61,BreakfastTable[],2,FALSE),0))</f>
        <v>20</v>
      </c>
      <c r="O55" s="29">
        <f>(A58 * IFERROR(VLOOKUP(B58,BreakfastTable[],3,FALSE),0)) + (A59 * IFERROR(VLOOKUP(B59,BreakfastTable[],3,FALSE),0)) + (A60 * IFERROR(VLOOKUP(B60,BreakfastTable[],3,FALSE),0)) + (A61 * IFERROR(VLOOKUP(B61,BreakfastTable[],3,FALSE),0))</f>
        <v>9</v>
      </c>
      <c r="P55" s="29">
        <f>(A58 * IFERROR(VLOOKUP(B58,BreakfastTable[],4,FALSE),0)) + (A59 * IFERROR(VLOOKUP(B59,BreakfastTable[],4,FALSE),0)) + (A60 * IFERROR(VLOOKUP(B60,BreakfastTable[],4,FALSE),0)) + (A61 * IFERROR(VLOOKUP(B61,BreakfastTable[],4,FALSE),0))</f>
        <v>30</v>
      </c>
    </row>
    <row r="56" spans="1:16" x14ac:dyDescent="0.25">
      <c r="A56" s="17"/>
      <c r="B56" s="17"/>
      <c r="C56" s="17"/>
      <c r="D56" s="17"/>
      <c r="E56" s="17"/>
      <c r="F56" s="17"/>
      <c r="G56" s="28"/>
      <c r="H56" s="28"/>
      <c r="I56" s="25"/>
      <c r="J56" s="25"/>
      <c r="K56" s="25"/>
      <c r="L56" s="25"/>
      <c r="M56" s="29" t="s">
        <v>11</v>
      </c>
      <c r="N56" s="29">
        <f>(C58 * IFERROR(VLOOKUP(D58,LunchTable[],2,FALSE),0)) + (C59 * IFERROR(VLOOKUP(D59,LunchTable[],2,FALSE),0)) + (C60 * IFERROR(VLOOKUP(D60,LunchTable[],2,FALSE),0)) + (C61 * IFERROR(VLOOKUP(D61,LunchTable[],2,FALSE),0))</f>
        <v>14</v>
      </c>
      <c r="O56" s="29">
        <f>(C58 * IFERROR(VLOOKUP(D58,LunchTable[],3,FALSE),0)) + (C59 * IFERROR(VLOOKUP(D59,LunchTable[],3,FALSE),0)) + (C60 * IFERROR(VLOOKUP(D60,LunchTable[],3,FALSE),0)) + (C61 * IFERROR(VLOOKUP(D61,LunchTable[],3,FALSE),0))</f>
        <v>9</v>
      </c>
      <c r="P56" s="29">
        <f>(C58 * IFERROR(VLOOKUP(D58,LunchTable[],4,FALSE),0)) + (C59 * IFERROR(VLOOKUP(D59,LunchTable[],4,FALSE),0)) + (C60 * IFERROR(VLOOKUP(D60,LunchTable[],4,FALSE),0)) + (C61 * IFERROR(VLOOKUP(D61,LunchTable[],4,FALSE),0))</f>
        <v>0</v>
      </c>
    </row>
    <row r="57" spans="1:16" ht="18" thickBot="1" x14ac:dyDescent="0.35">
      <c r="A57" s="10" t="s">
        <v>34</v>
      </c>
      <c r="B57" s="11" t="s">
        <v>6</v>
      </c>
      <c r="C57" s="10" t="s">
        <v>34</v>
      </c>
      <c r="D57" s="11" t="s">
        <v>11</v>
      </c>
      <c r="E57" s="10" t="s">
        <v>34</v>
      </c>
      <c r="F57" s="11" t="s">
        <v>12</v>
      </c>
      <c r="G57" s="10" t="s">
        <v>34</v>
      </c>
      <c r="H57" s="12" t="s">
        <v>35</v>
      </c>
      <c r="I57" s="5" t="s">
        <v>41</v>
      </c>
      <c r="J57" s="5" t="s">
        <v>42</v>
      </c>
      <c r="K57" s="5" t="s">
        <v>43</v>
      </c>
      <c r="L57" s="25"/>
      <c r="M57" s="29" t="s">
        <v>12</v>
      </c>
      <c r="N57" s="29">
        <f>(E58 * IFERROR(VLOOKUP(F58,DinnerTable[],2,FALSE),0)) + (E59 * IFERROR(VLOOKUP(F59,DinnerTable[],2,FALSE),0)) + (E60 * IFERROR(VLOOKUP(F60,DinnerTable[],2,FALSE),0)) + (E61 * IFERROR(VLOOKUP(F61,DinnerTable[],2,FALSE),0))</f>
        <v>29.5</v>
      </c>
      <c r="O57" s="29">
        <f>(E58 * IFERROR(VLOOKUP(F58,DinnerTable[],3,FALSE),0)) + (E59 * IFERROR(VLOOKUP(F59,DinnerTable[],3,FALSE),0)) + (E60 * IFERROR(VLOOKUP(F60,DinnerTable[],3,FALSE),0)) + (E61 * IFERROR(VLOOKUP(F61,DinnerTable[],3,FALSE),0))</f>
        <v>1</v>
      </c>
      <c r="P57" s="29">
        <f>(E58 * IFERROR(VLOOKUP(F58,DinnerTable[],4,FALSE),0)) + (E59 * IFERROR(VLOOKUP(F59,DinnerTable[],4,FALSE),0)) + (E60 * IFERROR(VLOOKUP(F60,DinnerTable[],4,FALSE),0)) + (E61 * IFERROR(VLOOKUP(F61,DinnerTable[],4,FALSE),0))</f>
        <v>22.5</v>
      </c>
    </row>
    <row r="58" spans="1:16" ht="15.75" thickTop="1" x14ac:dyDescent="0.25">
      <c r="A58" s="17">
        <v>1</v>
      </c>
      <c r="B58" s="17" t="s">
        <v>26</v>
      </c>
      <c r="C58" s="17">
        <v>2</v>
      </c>
      <c r="D58" s="17" t="s">
        <v>29</v>
      </c>
      <c r="E58" s="17">
        <v>1</v>
      </c>
      <c r="F58" s="17" t="s">
        <v>50</v>
      </c>
      <c r="G58" s="17">
        <v>1</v>
      </c>
      <c r="H58" s="17" t="s">
        <v>97</v>
      </c>
      <c r="I58" s="2"/>
      <c r="J58" s="2"/>
      <c r="K58" s="2"/>
      <c r="L58" s="25"/>
      <c r="M58" s="29" t="s">
        <v>35</v>
      </c>
      <c r="N58" s="29">
        <f>(G58 * IFERROR(VLOOKUP(H58,PostWorkoutTable[],2,FALSE),0)) + (G59 * IFERROR(VLOOKUP(H59,PostWorkoutTable[],2,FALSE),0)) + (G60 * IFERROR(VLOOKUP(H60,PostWorkoutTable[],2,FALSE),0)) + (G61 * IFERROR(VLOOKUP(H61,PostWorkoutTable[],2,FALSE),0))</f>
        <v>32.200000000000003</v>
      </c>
      <c r="O58" s="29">
        <f>(G58 * IFERROR(VLOOKUP(H58,PostWorkoutTable[],3,FALSE),0)) + (G59 * IFERROR(VLOOKUP(H59,PostWorkoutTable[],3,FALSE),0)) + (G60 * IFERROR(VLOOKUP(H60,PostWorkoutTable[],3,FALSE),0)) + (G61 * IFERROR(VLOOKUP(H61,PostWorkoutTable[],3,FALSE),0))</f>
        <v>14.7</v>
      </c>
      <c r="P58" s="29">
        <f>(G58 * IFERROR(VLOOKUP(H58,PostWorkoutTable[],4,FALSE),0)) + (G59 * IFERROR(VLOOKUP(H59,PostWorkoutTable[],4,FALSE),0)) + (G60 * IFERROR(VLOOKUP(H60,PostWorkoutTable[],4,FALSE),0)) + (G61 * IFERROR(VLOOKUP(H61,PostWorkoutTable[],4,FALSE),0))</f>
        <v>55.4</v>
      </c>
    </row>
    <row r="59" spans="1:16" x14ac:dyDescent="0.25">
      <c r="A59" s="17"/>
      <c r="B59" s="17"/>
      <c r="C59" s="17"/>
      <c r="D59" s="17"/>
      <c r="E59" s="17">
        <v>0.5</v>
      </c>
      <c r="F59" s="17" t="s">
        <v>32</v>
      </c>
      <c r="G59" s="17"/>
      <c r="H59" s="17"/>
      <c r="I59" s="2"/>
      <c r="J59" s="2"/>
      <c r="K59" s="2"/>
      <c r="L59" s="25"/>
      <c r="M59" s="29" t="s">
        <v>21</v>
      </c>
      <c r="N59" s="29">
        <f xml:space="preserve"> SUM(I58:I61)</f>
        <v>0</v>
      </c>
      <c r="O59" s="29">
        <f>SUM(J58:J61)</f>
        <v>0</v>
      </c>
      <c r="P59" s="29">
        <f>SUM(K58:K61)</f>
        <v>0</v>
      </c>
    </row>
    <row r="60" spans="1:16" x14ac:dyDescent="0.25">
      <c r="A60" s="17"/>
      <c r="B60" s="17"/>
      <c r="C60" s="17"/>
      <c r="D60" s="17"/>
      <c r="E60" s="17"/>
      <c r="F60" s="17"/>
      <c r="G60" s="17"/>
      <c r="H60" s="17"/>
      <c r="I60" s="2"/>
      <c r="J60" s="2"/>
      <c r="K60" s="2"/>
      <c r="L60" s="25"/>
      <c r="M60" s="29" t="s">
        <v>38</v>
      </c>
      <c r="N60" s="29">
        <f>SUM(N55:N59)</f>
        <v>95.7</v>
      </c>
      <c r="O60" s="29">
        <f>SUM(O55:O59)</f>
        <v>33.700000000000003</v>
      </c>
      <c r="P60" s="29">
        <f>SUM(P55:P59)</f>
        <v>107.9</v>
      </c>
    </row>
    <row r="61" spans="1:16" x14ac:dyDescent="0.25">
      <c r="A61" s="17"/>
      <c r="B61" s="17"/>
      <c r="C61" s="17"/>
      <c r="D61" s="17"/>
      <c r="E61" s="17"/>
      <c r="F61" s="17"/>
      <c r="G61" s="17"/>
      <c r="H61" s="17"/>
      <c r="I61" s="2"/>
      <c r="J61" s="2"/>
      <c r="K61" s="2"/>
      <c r="L61" s="25"/>
      <c r="M61" s="25"/>
      <c r="N61" s="25"/>
      <c r="O61" s="25"/>
      <c r="P61" s="25"/>
    </row>
    <row r="62" spans="1:16" x14ac:dyDescent="0.25">
      <c r="A62" s="25"/>
      <c r="B62" s="25"/>
      <c r="C62" s="25"/>
      <c r="D62" s="25"/>
      <c r="E62" s="25"/>
      <c r="F62" s="25"/>
      <c r="G62" s="25"/>
      <c r="H62" s="25"/>
      <c r="I62" s="25"/>
      <c r="J62" s="25"/>
      <c r="K62" s="25"/>
      <c r="L62" s="25"/>
      <c r="M62" s="25"/>
      <c r="N62" s="25"/>
      <c r="O62" s="25"/>
      <c r="P62" s="25"/>
    </row>
    <row r="63" spans="1:16" ht="23.25" x14ac:dyDescent="0.35">
      <c r="A63" s="26">
        <v>43485</v>
      </c>
      <c r="B63" s="25"/>
      <c r="C63" s="25"/>
      <c r="D63" s="25"/>
      <c r="E63" s="25"/>
      <c r="F63" s="25"/>
      <c r="G63" s="25"/>
      <c r="H63" s="25"/>
      <c r="I63" s="25"/>
      <c r="J63" s="25"/>
      <c r="K63" s="25"/>
      <c r="L63" s="25"/>
      <c r="M63" s="25"/>
      <c r="N63" s="25"/>
      <c r="O63" s="25"/>
      <c r="P63" s="25"/>
    </row>
    <row r="64" spans="1:16" ht="18" thickBot="1" x14ac:dyDescent="0.35">
      <c r="A64" s="3" t="s">
        <v>48</v>
      </c>
      <c r="B64" s="3" t="s">
        <v>0</v>
      </c>
      <c r="C64" s="3" t="s">
        <v>36</v>
      </c>
      <c r="D64" s="3" t="s">
        <v>8</v>
      </c>
      <c r="E64" s="5" t="s">
        <v>9</v>
      </c>
      <c r="F64" s="5" t="s">
        <v>10</v>
      </c>
      <c r="G64" s="27"/>
      <c r="H64" s="28"/>
      <c r="I64" s="25"/>
      <c r="J64" s="25"/>
      <c r="K64" s="25"/>
      <c r="L64" s="25"/>
      <c r="M64" s="27"/>
      <c r="N64" s="29" t="s">
        <v>8</v>
      </c>
      <c r="O64" s="29" t="s">
        <v>9</v>
      </c>
      <c r="P64" s="29" t="s">
        <v>10</v>
      </c>
    </row>
    <row r="65" spans="1:16" ht="15.75" thickTop="1" x14ac:dyDescent="0.25">
      <c r="A65" s="18">
        <v>43479</v>
      </c>
      <c r="B65" s="16">
        <f>IFERROR(VLOOKUP(A65,OverviewTable[],2,FALSE),"?")</f>
        <v>125.4</v>
      </c>
      <c r="C65" s="16" t="str">
        <f>((N70 * 4) + (O70 * 9) + (P70 * 4))&amp;"/"&amp;IFERROR(VLOOKUP(A65,OverviewTable[],11,FALSE),"?")</f>
        <v>1011/2256.4</v>
      </c>
      <c r="D65" s="16" t="str">
        <f>N70&amp;"/"&amp;IFERROR(VLOOKUP(A65,OverviewTable[],12,FALSE),"?")</f>
        <v>80/125</v>
      </c>
      <c r="E65" s="16" t="str">
        <f>O70&amp;"/"&amp;IFERROR(VLOOKUP(A65,OverviewTable[],13,FALSE),"?")</f>
        <v>31/63</v>
      </c>
      <c r="F65" s="16" t="str">
        <f>P70&amp;"/"&amp;IFERROR(VLOOKUP(A65,OverviewTable[],14,FALSE),"?")</f>
        <v>103/297</v>
      </c>
      <c r="G65" s="28"/>
      <c r="H65" s="28"/>
      <c r="I65" s="25"/>
      <c r="J65" s="25"/>
      <c r="K65" s="25"/>
      <c r="L65" s="25"/>
      <c r="M65" s="29" t="s">
        <v>6</v>
      </c>
      <c r="N65" s="29">
        <f>(A68 * IFERROR(VLOOKUP(B68,BreakfastTable[],2,FALSE),0)) + (A69 * IFERROR(VLOOKUP(B69,BreakfastTable[],2,FALSE),0)) + (A70 * IFERROR(VLOOKUP(B70,BreakfastTable[],2,FALSE),0)) + (A71 * IFERROR(VLOOKUP(B71,BreakfastTable[],2,FALSE),0))</f>
        <v>20</v>
      </c>
      <c r="O65" s="29">
        <f>(A68 * IFERROR(VLOOKUP(B68,BreakfastTable[],3,FALSE),0)) + (A69 * IFERROR(VLOOKUP(B69,BreakfastTable[],3,FALSE),0)) + (A70 * IFERROR(VLOOKUP(B70,BreakfastTable[],3,FALSE),0)) + (A71 * IFERROR(VLOOKUP(B71,BreakfastTable[],3,FALSE),0))</f>
        <v>9</v>
      </c>
      <c r="P65" s="29">
        <f>(A68 * IFERROR(VLOOKUP(B68,BreakfastTable[],4,FALSE),0)) + (A69 * IFERROR(VLOOKUP(B69,BreakfastTable[],4,FALSE),0)) + (A70 * IFERROR(VLOOKUP(B70,BreakfastTable[],4,FALSE),0)) + (A71 * IFERROR(VLOOKUP(B71,BreakfastTable[],4,FALSE),0))</f>
        <v>30</v>
      </c>
    </row>
    <row r="66" spans="1:16" x14ac:dyDescent="0.25">
      <c r="A66" s="17"/>
      <c r="B66" s="17"/>
      <c r="C66" s="17"/>
      <c r="D66" s="17"/>
      <c r="E66" s="17"/>
      <c r="F66" s="17"/>
      <c r="G66" s="28"/>
      <c r="H66" s="28"/>
      <c r="I66" s="25"/>
      <c r="J66" s="25"/>
      <c r="K66" s="25"/>
      <c r="L66" s="25"/>
      <c r="M66" s="29" t="s">
        <v>11</v>
      </c>
      <c r="N66" s="29">
        <f>(C68 * IFERROR(VLOOKUP(D68,LunchTable[],2,FALSE),0)) + (C69 * IFERROR(VLOOKUP(D69,LunchTable[],2,FALSE),0)) + (C70 * IFERROR(VLOOKUP(D70,LunchTable[],2,FALSE),0)) + (C71 * IFERROR(VLOOKUP(D71,LunchTable[],2,FALSE),0))</f>
        <v>0</v>
      </c>
      <c r="O66" s="29">
        <f>(C68 * IFERROR(VLOOKUP(D68,LunchTable[],3,FALSE),0)) + (C69 * IFERROR(VLOOKUP(D69,LunchTable[],3,FALSE),0)) + (C70 * IFERROR(VLOOKUP(D70,LunchTable[],3,FALSE),0)) + (C71 * IFERROR(VLOOKUP(D71,LunchTable[],3,FALSE),0))</f>
        <v>0</v>
      </c>
      <c r="P66" s="29">
        <f>(C68 * IFERROR(VLOOKUP(D68,LunchTable[],4,FALSE),0)) + (C69 * IFERROR(VLOOKUP(D69,LunchTable[],4,FALSE),0)) + (C70 * IFERROR(VLOOKUP(D70,LunchTable[],4,FALSE),0)) + (C71 * IFERROR(VLOOKUP(D71,LunchTable[],4,FALSE),0))</f>
        <v>0</v>
      </c>
    </row>
    <row r="67" spans="1:16" ht="18" thickBot="1" x14ac:dyDescent="0.35">
      <c r="A67" s="10" t="s">
        <v>34</v>
      </c>
      <c r="B67" s="11" t="s">
        <v>6</v>
      </c>
      <c r="C67" s="10" t="s">
        <v>34</v>
      </c>
      <c r="D67" s="11" t="s">
        <v>11</v>
      </c>
      <c r="E67" s="10" t="s">
        <v>34</v>
      </c>
      <c r="F67" s="11" t="s">
        <v>12</v>
      </c>
      <c r="G67" s="10" t="s">
        <v>34</v>
      </c>
      <c r="H67" s="12" t="s">
        <v>35</v>
      </c>
      <c r="I67" s="5" t="s">
        <v>41</v>
      </c>
      <c r="J67" s="5" t="s">
        <v>42</v>
      </c>
      <c r="K67" s="5" t="s">
        <v>43</v>
      </c>
      <c r="L67" s="25"/>
      <c r="M67" s="29" t="s">
        <v>12</v>
      </c>
      <c r="N67" s="29">
        <f>(E68 * IFERROR(VLOOKUP(F68,DinnerTable[],2,FALSE),0)) + (E69 * IFERROR(VLOOKUP(F69,DinnerTable[],2,FALSE),0)) + (E70 * IFERROR(VLOOKUP(F70,DinnerTable[],2,FALSE),0)) + (E71 * IFERROR(VLOOKUP(F71,DinnerTable[],2,FALSE),0))</f>
        <v>0</v>
      </c>
      <c r="O67" s="29">
        <f>(E68 * IFERROR(VLOOKUP(F68,DinnerTable[],3,FALSE),0)) + (E69 * IFERROR(VLOOKUP(F69,DinnerTable[],3,FALSE),0)) + (E70 * IFERROR(VLOOKUP(F70,DinnerTable[],3,FALSE),0)) + (E71 * IFERROR(VLOOKUP(F71,DinnerTable[],3,FALSE),0))</f>
        <v>0</v>
      </c>
      <c r="P67" s="29">
        <f>(E68 * IFERROR(VLOOKUP(F68,DinnerTable[],4,FALSE),0)) + (E69 * IFERROR(VLOOKUP(F69,DinnerTable[],4,FALSE),0)) + (E70 * IFERROR(VLOOKUP(F70,DinnerTable[],4,FALSE),0)) + (E71 * IFERROR(VLOOKUP(F71,DinnerTable[],4,FALSE),0))</f>
        <v>0</v>
      </c>
    </row>
    <row r="68" spans="1:16" ht="15.75" thickTop="1" x14ac:dyDescent="0.25">
      <c r="A68" s="17">
        <v>1</v>
      </c>
      <c r="B68" s="17" t="s">
        <v>26</v>
      </c>
      <c r="C68" s="17"/>
      <c r="D68" s="17"/>
      <c r="E68" s="17">
        <v>2</v>
      </c>
      <c r="F68" s="17" t="s">
        <v>59</v>
      </c>
      <c r="G68" s="17"/>
      <c r="H68" s="17"/>
      <c r="I68" s="42">
        <v>60</v>
      </c>
      <c r="J68" s="42">
        <v>22</v>
      </c>
      <c r="K68" s="42">
        <v>73</v>
      </c>
      <c r="L68" s="25"/>
      <c r="M68" s="29" t="s">
        <v>35</v>
      </c>
      <c r="N68" s="29">
        <f>(G68 * IFERROR(VLOOKUP(H68,PostWorkoutTable[],2,FALSE),0)) + (G69 * IFERROR(VLOOKUP(H69,PostWorkoutTable[],2,FALSE),0)) + (G70 * IFERROR(VLOOKUP(H70,PostWorkoutTable[],2,FALSE),0)) + (G71 * IFERROR(VLOOKUP(H71,PostWorkoutTable[],2,FALSE),0))</f>
        <v>0</v>
      </c>
      <c r="O68" s="29">
        <f>(G68 * IFERROR(VLOOKUP(H68,PostWorkoutTable[],3,FALSE),0)) + (G69 * IFERROR(VLOOKUP(H69,PostWorkoutTable[],3,FALSE),0)) + (G70 * IFERROR(VLOOKUP(H70,PostWorkoutTable[],3,FALSE),0)) + (G71 * IFERROR(VLOOKUP(H71,PostWorkoutTable[],3,FALSE),0))</f>
        <v>0</v>
      </c>
      <c r="P68" s="29">
        <f>(G68 * IFERROR(VLOOKUP(H68,PostWorkoutTable[],4,FALSE),0)) + (G69 * IFERROR(VLOOKUP(H69,PostWorkoutTable[],4,FALSE),0)) + (G70 * IFERROR(VLOOKUP(H70,PostWorkoutTable[],4,FALSE),0)) + (G71 * IFERROR(VLOOKUP(H71,PostWorkoutTable[],4,FALSE),0))</f>
        <v>0</v>
      </c>
    </row>
    <row r="69" spans="1:16" x14ac:dyDescent="0.25">
      <c r="A69" s="17"/>
      <c r="B69" s="17"/>
      <c r="C69" s="17"/>
      <c r="D69" s="17"/>
      <c r="E69" s="17"/>
      <c r="F69" s="17"/>
      <c r="G69" s="17"/>
      <c r="H69" s="17"/>
      <c r="I69" s="2"/>
      <c r="J69" s="2"/>
      <c r="K69" s="2"/>
      <c r="L69" s="25"/>
      <c r="M69" s="29" t="s">
        <v>21</v>
      </c>
      <c r="N69" s="29">
        <f xml:space="preserve"> SUM(I68:I71)</f>
        <v>60</v>
      </c>
      <c r="O69" s="29">
        <f>SUM(J68:J71)</f>
        <v>22</v>
      </c>
      <c r="P69" s="29">
        <f>SUM(K68:K71)</f>
        <v>73</v>
      </c>
    </row>
    <row r="70" spans="1:16" x14ac:dyDescent="0.25">
      <c r="A70" s="17"/>
      <c r="B70" s="17"/>
      <c r="C70" s="17"/>
      <c r="D70" s="17"/>
      <c r="E70" s="17"/>
      <c r="F70" s="17"/>
      <c r="G70" s="17"/>
      <c r="H70" s="17"/>
      <c r="I70" s="2"/>
      <c r="J70" s="2"/>
      <c r="K70" s="2"/>
      <c r="L70" s="25"/>
      <c r="M70" s="29" t="s">
        <v>38</v>
      </c>
      <c r="N70" s="29">
        <f>SUM(N65:N69)</f>
        <v>80</v>
      </c>
      <c r="O70" s="29">
        <f>SUM(O65:O69)</f>
        <v>31</v>
      </c>
      <c r="P70" s="29">
        <f>SUM(P65:P69)</f>
        <v>103</v>
      </c>
    </row>
    <row r="71" spans="1:16" x14ac:dyDescent="0.25">
      <c r="A71" s="17"/>
      <c r="B71" s="17"/>
      <c r="C71" s="17"/>
      <c r="D71" s="17"/>
      <c r="E71" s="17"/>
      <c r="F71" s="17"/>
      <c r="G71" s="17"/>
      <c r="H71" s="17"/>
      <c r="I71" s="2"/>
      <c r="J71" s="2"/>
      <c r="K71" s="2"/>
      <c r="L71" s="25"/>
      <c r="M71" s="25"/>
      <c r="N71" s="25"/>
      <c r="O71" s="25"/>
      <c r="P71" s="25"/>
    </row>
    <row r="72" spans="1:16" x14ac:dyDescent="0.25">
      <c r="A72" s="25"/>
      <c r="B72" s="25"/>
      <c r="C72" s="25"/>
      <c r="D72" s="25"/>
      <c r="E72" s="25"/>
      <c r="F72" s="25"/>
      <c r="G72" s="25"/>
      <c r="H72" s="25"/>
      <c r="I72" s="25"/>
      <c r="J72" s="25"/>
      <c r="K72" s="25"/>
      <c r="L72" s="25"/>
      <c r="M72" s="25"/>
      <c r="N72" s="25"/>
      <c r="O72" s="25"/>
      <c r="P72" s="25"/>
    </row>
    <row r="73" spans="1:16" ht="23.25" x14ac:dyDescent="0.35">
      <c r="A73" s="26">
        <v>43486</v>
      </c>
      <c r="B73" s="25"/>
      <c r="C73" s="25"/>
      <c r="D73" s="25"/>
      <c r="E73" s="25"/>
      <c r="F73" s="25"/>
      <c r="G73" s="25"/>
      <c r="H73" s="25"/>
      <c r="I73" s="25"/>
      <c r="J73" s="25"/>
      <c r="K73" s="25"/>
      <c r="L73" s="25"/>
      <c r="M73" s="25"/>
      <c r="N73" s="25"/>
      <c r="O73" s="25"/>
      <c r="P73" s="25"/>
    </row>
    <row r="74" spans="1:16" ht="18" thickBot="1" x14ac:dyDescent="0.35">
      <c r="A74" s="3" t="s">
        <v>48</v>
      </c>
      <c r="B74" s="3" t="s">
        <v>0</v>
      </c>
      <c r="C74" s="3" t="s">
        <v>36</v>
      </c>
      <c r="D74" s="3" t="s">
        <v>8</v>
      </c>
      <c r="E74" s="5" t="s">
        <v>9</v>
      </c>
      <c r="F74" s="5" t="s">
        <v>10</v>
      </c>
      <c r="G74" s="27"/>
      <c r="H74" s="28"/>
      <c r="I74" s="25"/>
      <c r="J74" s="25"/>
      <c r="K74" s="25"/>
      <c r="L74" s="25"/>
      <c r="M74" s="27"/>
      <c r="N74" s="29" t="s">
        <v>8</v>
      </c>
      <c r="O74" s="29" t="s">
        <v>9</v>
      </c>
      <c r="P74" s="29" t="s">
        <v>10</v>
      </c>
    </row>
    <row r="75" spans="1:16" ht="15.75" thickTop="1" x14ac:dyDescent="0.25">
      <c r="A75" s="18">
        <v>43486</v>
      </c>
      <c r="B75" s="16">
        <f>IFERROR(VLOOKUP(A75,OverviewTable[],2,FALSE),"?")</f>
        <v>123.6</v>
      </c>
      <c r="C75" s="16" t="str">
        <f>((N80 * 4) + (O80 * 9) + (P80 * 4))&amp;"/"&amp;IFERROR(VLOOKUP(A75,OverviewTable[],11,FALSE),"?")</f>
        <v>2342.59/2227.6</v>
      </c>
      <c r="D75" s="16" t="str">
        <f>N80&amp;"/"&amp;IFERROR(VLOOKUP(A75,OverviewTable[],12,FALSE),"?")</f>
        <v>207.31/124</v>
      </c>
      <c r="E75" s="16" t="str">
        <f>O80&amp;"/"&amp;IFERROR(VLOOKUP(A75,OverviewTable[],13,FALSE),"?")</f>
        <v>79.43/62</v>
      </c>
      <c r="F75" s="16" t="str">
        <f>P80&amp;"/"&amp;IFERROR(VLOOKUP(A75,OverviewTable[],14,FALSE),"?")</f>
        <v>199.62/293</v>
      </c>
      <c r="G75" s="28"/>
      <c r="H75" s="28"/>
      <c r="I75" s="25"/>
      <c r="J75" s="25"/>
      <c r="K75" s="25"/>
      <c r="L75" s="25"/>
      <c r="M75" s="29" t="s">
        <v>6</v>
      </c>
      <c r="N75" s="29">
        <f>(A78 * IFERROR(VLOOKUP(B78,BreakfastTable[],2,FALSE),0)) + (A79 * IFERROR(VLOOKUP(B79,BreakfastTable[],2,FALSE),0)) + (A80 * IFERROR(VLOOKUP(B80,BreakfastTable[],2,FALSE),0)) + (A81 * IFERROR(VLOOKUP(B81,BreakfastTable[],2,FALSE),0))</f>
        <v>21.6</v>
      </c>
      <c r="O75" s="29">
        <f>(A78 * IFERROR(VLOOKUP(B78,BreakfastTable[],3,FALSE),0)) + (A79 * IFERROR(VLOOKUP(B79,BreakfastTable[],3,FALSE),0)) + (A80 * IFERROR(VLOOKUP(B80,BreakfastTable[],3,FALSE),0)) + (A81 * IFERROR(VLOOKUP(B81,BreakfastTable[],3,FALSE),0))</f>
        <v>9.5</v>
      </c>
      <c r="P75" s="29">
        <f>(A78 * IFERROR(VLOOKUP(B78,BreakfastTable[],4,FALSE),0)) + (A79 * IFERROR(VLOOKUP(B79,BreakfastTable[],4,FALSE),0)) + (A80 * IFERROR(VLOOKUP(B80,BreakfastTable[],4,FALSE),0)) + (A81 * IFERROR(VLOOKUP(B81,BreakfastTable[],4,FALSE),0))</f>
        <v>64.3</v>
      </c>
    </row>
    <row r="76" spans="1:16" x14ac:dyDescent="0.25">
      <c r="A76" s="17"/>
      <c r="B76" s="17"/>
      <c r="C76" s="17"/>
      <c r="D76" s="17"/>
      <c r="E76" s="17"/>
      <c r="F76" s="17"/>
      <c r="G76" s="28"/>
      <c r="H76" s="28"/>
      <c r="I76" s="25"/>
      <c r="J76" s="25"/>
      <c r="K76" s="25"/>
      <c r="L76" s="25"/>
      <c r="M76" s="29" t="s">
        <v>11</v>
      </c>
      <c r="N76" s="29">
        <f>(C78 * IFERROR(VLOOKUP(D78,LunchTable[],2,FALSE),0)) + (C79 * IFERROR(VLOOKUP(D79,LunchTable[],2,FALSE),0)) + (C80 * IFERROR(VLOOKUP(D80,LunchTable[],2,FALSE),0)) + (C81 * IFERROR(VLOOKUP(D81,LunchTable[],2,FALSE),0))</f>
        <v>33.760000000000005</v>
      </c>
      <c r="O76" s="29">
        <f>(C78 * IFERROR(VLOOKUP(D78,LunchTable[],3,FALSE),0)) + (C79 * IFERROR(VLOOKUP(D79,LunchTable[],3,FALSE),0)) + (C80 * IFERROR(VLOOKUP(D80,LunchTable[],3,FALSE),0)) + (C81 * IFERROR(VLOOKUP(D81,LunchTable[],3,FALSE),0))</f>
        <v>12.780000000000001</v>
      </c>
      <c r="P76" s="29">
        <f>(C78 * IFERROR(VLOOKUP(D78,LunchTable[],4,FALSE),0)) + (C79 * IFERROR(VLOOKUP(D79,LunchTable[],4,FALSE),0)) + (C80 * IFERROR(VLOOKUP(D80,LunchTable[],4,FALSE),0)) + (C81 * IFERROR(VLOOKUP(D81,LunchTable[],4,FALSE),0))</f>
        <v>30.92</v>
      </c>
    </row>
    <row r="77" spans="1:16" ht="18" thickBot="1" x14ac:dyDescent="0.35">
      <c r="A77" s="10" t="s">
        <v>34</v>
      </c>
      <c r="B77" s="11" t="s">
        <v>6</v>
      </c>
      <c r="C77" s="10" t="s">
        <v>34</v>
      </c>
      <c r="D77" s="11" t="s">
        <v>11</v>
      </c>
      <c r="E77" s="10" t="s">
        <v>34</v>
      </c>
      <c r="F77" s="11" t="s">
        <v>12</v>
      </c>
      <c r="G77" s="10" t="s">
        <v>34</v>
      </c>
      <c r="H77" s="12" t="s">
        <v>35</v>
      </c>
      <c r="I77" s="5" t="s">
        <v>41</v>
      </c>
      <c r="J77" s="5" t="s">
        <v>42</v>
      </c>
      <c r="K77" s="5" t="s">
        <v>43</v>
      </c>
      <c r="L77" s="25"/>
      <c r="M77" s="29" t="s">
        <v>12</v>
      </c>
      <c r="N77" s="29">
        <f>(E78 * IFERROR(VLOOKUP(F78,DinnerTable[],2,FALSE),0)) + (E79 * IFERROR(VLOOKUP(F79,DinnerTable[],2,FALSE),0)) + (E80 * IFERROR(VLOOKUP(F80,DinnerTable[],2,FALSE),0)) + (E81 * IFERROR(VLOOKUP(F81,DinnerTable[],2,FALSE),0))</f>
        <v>119.75</v>
      </c>
      <c r="O77" s="29">
        <f>(E78 * IFERROR(VLOOKUP(F78,DinnerTable[],3,FALSE),0)) + (E79 * IFERROR(VLOOKUP(F79,DinnerTable[],3,FALSE),0)) + (E80 * IFERROR(VLOOKUP(F80,DinnerTable[],3,FALSE),0)) + (E81 * IFERROR(VLOOKUP(F81,DinnerTable[],3,FALSE),0))</f>
        <v>42.25</v>
      </c>
      <c r="P77" s="29">
        <f>(E78 * IFERROR(VLOOKUP(F78,DinnerTable[],4,FALSE),0)) + (E79 * IFERROR(VLOOKUP(F79,DinnerTable[],4,FALSE),0)) + (E80 * IFERROR(VLOOKUP(F80,DinnerTable[],4,FALSE),0)) + (E81 * IFERROR(VLOOKUP(F81,DinnerTable[],4,FALSE),0))</f>
        <v>54</v>
      </c>
    </row>
    <row r="78" spans="1:16" ht="15.75" thickTop="1" x14ac:dyDescent="0.25">
      <c r="A78" s="17">
        <v>1</v>
      </c>
      <c r="B78" s="17" t="s">
        <v>27</v>
      </c>
      <c r="C78" s="17">
        <v>0.33</v>
      </c>
      <c r="D78" s="17" t="s">
        <v>51</v>
      </c>
      <c r="E78" s="17">
        <v>0.5</v>
      </c>
      <c r="F78" s="17" t="s">
        <v>60</v>
      </c>
      <c r="G78" s="17">
        <v>1</v>
      </c>
      <c r="H78" s="17" t="s">
        <v>96</v>
      </c>
      <c r="I78" s="2"/>
      <c r="J78" s="2"/>
      <c r="K78" s="2"/>
      <c r="L78" s="25"/>
      <c r="M78" s="29" t="s">
        <v>35</v>
      </c>
      <c r="N78" s="29">
        <f>(G78 * IFERROR(VLOOKUP(H78,PostWorkoutTable[],2,FALSE),0)) + (G79 * IFERROR(VLOOKUP(H79,PostWorkoutTable[],2,FALSE),0)) + (G80 * IFERROR(VLOOKUP(H80,PostWorkoutTable[],2,FALSE),0)) + (G81 * IFERROR(VLOOKUP(H81,PostWorkoutTable[],2,FALSE),0))</f>
        <v>32.200000000000003</v>
      </c>
      <c r="O78" s="29">
        <f>(G78 * IFERROR(VLOOKUP(H78,PostWorkoutTable[],3,FALSE),0)) + (G79 * IFERROR(VLOOKUP(H79,PostWorkoutTable[],3,FALSE),0)) + (G80 * IFERROR(VLOOKUP(H80,PostWorkoutTable[],3,FALSE),0)) + (G81 * IFERROR(VLOOKUP(H81,PostWorkoutTable[],3,FALSE),0))</f>
        <v>14.9</v>
      </c>
      <c r="P78" s="29">
        <f>(G78 * IFERROR(VLOOKUP(H78,PostWorkoutTable[],4,FALSE),0)) + (G79 * IFERROR(VLOOKUP(H79,PostWorkoutTable[],4,FALSE),0)) + (G80 * IFERROR(VLOOKUP(H80,PostWorkoutTable[],4,FALSE),0)) + (G81 * IFERROR(VLOOKUP(H81,PostWorkoutTable[],4,FALSE),0))</f>
        <v>50.4</v>
      </c>
    </row>
    <row r="79" spans="1:16" x14ac:dyDescent="0.25">
      <c r="A79" s="17">
        <v>1</v>
      </c>
      <c r="B79" s="17" t="s">
        <v>26</v>
      </c>
      <c r="C79" s="17">
        <v>2</v>
      </c>
      <c r="D79" s="17" t="s">
        <v>57</v>
      </c>
      <c r="E79" s="17">
        <v>3</v>
      </c>
      <c r="F79" s="17" t="s">
        <v>22</v>
      </c>
      <c r="G79" s="17"/>
      <c r="H79" s="17"/>
      <c r="I79" s="2"/>
      <c r="J79" s="2"/>
      <c r="K79" s="2"/>
      <c r="L79" s="25"/>
      <c r="M79" s="29" t="s">
        <v>21</v>
      </c>
      <c r="N79" s="29">
        <f xml:space="preserve"> SUM(I78:I81)</f>
        <v>0</v>
      </c>
      <c r="O79" s="29">
        <f>SUM(J78:J81)</f>
        <v>0</v>
      </c>
      <c r="P79" s="29">
        <f>SUM(K78:K81)</f>
        <v>0</v>
      </c>
    </row>
    <row r="80" spans="1:16" x14ac:dyDescent="0.25">
      <c r="A80" s="17"/>
      <c r="B80" s="17"/>
      <c r="C80" s="17">
        <v>1</v>
      </c>
      <c r="D80" s="17" t="s">
        <v>90</v>
      </c>
      <c r="E80" s="17"/>
      <c r="F80" s="17"/>
      <c r="G80" s="17"/>
      <c r="H80" s="17"/>
      <c r="I80" s="2"/>
      <c r="J80" s="2"/>
      <c r="K80" s="2"/>
      <c r="L80" s="25"/>
      <c r="M80" s="29" t="s">
        <v>38</v>
      </c>
      <c r="N80" s="29">
        <f>SUM(N75:N79)</f>
        <v>207.31</v>
      </c>
      <c r="O80" s="29">
        <f>SUM(O75:O79)</f>
        <v>79.430000000000007</v>
      </c>
      <c r="P80" s="29">
        <f>SUM(P75:P79)</f>
        <v>199.62</v>
      </c>
    </row>
    <row r="81" spans="1:16" x14ac:dyDescent="0.25">
      <c r="A81" s="17"/>
      <c r="B81" s="17"/>
      <c r="C81" s="17"/>
      <c r="D81" s="17"/>
      <c r="E81" s="17"/>
      <c r="F81" s="17"/>
      <c r="G81" s="17"/>
      <c r="H81" s="17"/>
      <c r="I81" s="2"/>
      <c r="J81" s="2"/>
      <c r="K81" s="2"/>
      <c r="L81" s="25"/>
      <c r="M81" s="25"/>
      <c r="N81" s="25"/>
      <c r="O81" s="25"/>
      <c r="P81" s="25"/>
    </row>
    <row r="82" spans="1:16" x14ac:dyDescent="0.25">
      <c r="A82" s="25"/>
      <c r="B82" s="25"/>
      <c r="C82" s="25"/>
      <c r="D82" s="25"/>
      <c r="E82" s="25"/>
      <c r="F82" s="25"/>
      <c r="G82" s="25"/>
      <c r="H82" s="25"/>
      <c r="I82" s="25"/>
      <c r="J82" s="25"/>
      <c r="K82" s="25"/>
      <c r="L82" s="25"/>
      <c r="M82" s="25"/>
      <c r="N82" s="25"/>
      <c r="O82" s="25"/>
      <c r="P82" s="25"/>
    </row>
    <row r="83" spans="1:16" ht="23.25" x14ac:dyDescent="0.35">
      <c r="A83" s="26">
        <v>43487</v>
      </c>
      <c r="B83" s="25"/>
      <c r="C83" s="25"/>
      <c r="D83" s="25"/>
      <c r="E83" s="25"/>
      <c r="F83" s="25"/>
      <c r="G83" s="25"/>
      <c r="H83" s="25"/>
      <c r="I83" s="25"/>
      <c r="J83" s="25"/>
      <c r="K83" s="25"/>
      <c r="L83" s="25"/>
      <c r="M83" s="25"/>
      <c r="N83" s="25"/>
      <c r="O83" s="25"/>
      <c r="P83" s="25"/>
    </row>
    <row r="84" spans="1:16" ht="18" thickBot="1" x14ac:dyDescent="0.35">
      <c r="A84" s="3" t="s">
        <v>48</v>
      </c>
      <c r="B84" s="3" t="s">
        <v>0</v>
      </c>
      <c r="C84" s="3" t="s">
        <v>36</v>
      </c>
      <c r="D84" s="3" t="s">
        <v>8</v>
      </c>
      <c r="E84" s="5" t="s">
        <v>9</v>
      </c>
      <c r="F84" s="5" t="s">
        <v>10</v>
      </c>
      <c r="G84" s="27"/>
      <c r="H84" s="28"/>
      <c r="I84" s="25"/>
      <c r="J84" s="25"/>
      <c r="K84" s="25"/>
      <c r="L84" s="25"/>
      <c r="M84" s="27"/>
      <c r="N84" s="29" t="s">
        <v>8</v>
      </c>
      <c r="O84" s="29" t="s">
        <v>9</v>
      </c>
      <c r="P84" s="29" t="s">
        <v>10</v>
      </c>
    </row>
    <row r="85" spans="1:16" ht="15.75" thickTop="1" x14ac:dyDescent="0.25">
      <c r="A85" s="18">
        <v>43486</v>
      </c>
      <c r="B85" s="16">
        <f>IFERROR(VLOOKUP(A85,OverviewTable[],2,FALSE),"?")</f>
        <v>123.6</v>
      </c>
      <c r="C85" s="16" t="str">
        <f>((N90 * 4) + (O90 * 9) + (P90 * 4))&amp;"/"&amp;IFERROR(VLOOKUP(A85,OverviewTable[],11,FALSE),"?")</f>
        <v>2469.025/2227.6</v>
      </c>
      <c r="D85" s="16" t="str">
        <f>N90&amp;"/"&amp;IFERROR(VLOOKUP(A85,OverviewTable[],12,FALSE),"?")</f>
        <v>196.725/124</v>
      </c>
      <c r="E85" s="16" t="str">
        <f>O90&amp;"/"&amp;IFERROR(VLOOKUP(A85,OverviewTable[],13,FALSE),"?")</f>
        <v>95.525/62</v>
      </c>
      <c r="F85" s="16" t="str">
        <f>P90&amp;"/"&amp;IFERROR(VLOOKUP(A85,OverviewTable[],14,FALSE),"?")</f>
        <v>205.6/293</v>
      </c>
      <c r="G85" s="28"/>
      <c r="H85" s="28"/>
      <c r="I85" s="25"/>
      <c r="J85" s="25"/>
      <c r="K85" s="25"/>
      <c r="L85" s="25"/>
      <c r="M85" s="29" t="s">
        <v>6</v>
      </c>
      <c r="N85" s="29">
        <f>(A88 * IFERROR(VLOOKUP(B88,BreakfastTable[],2,FALSE),0)) + (A89 * IFERROR(VLOOKUP(B89,BreakfastTable[],2,FALSE),0)) + (A90 * IFERROR(VLOOKUP(B90,BreakfastTable[],2,FALSE),0)) + (A91 * IFERROR(VLOOKUP(B91,BreakfastTable[],2,FALSE),0))</f>
        <v>21.6</v>
      </c>
      <c r="O85" s="29">
        <f>(A88 * IFERROR(VLOOKUP(B88,BreakfastTable[],3,FALSE),0)) + (A89 * IFERROR(VLOOKUP(B89,BreakfastTable[],3,FALSE),0)) + (A90 * IFERROR(VLOOKUP(B90,BreakfastTable[],3,FALSE),0)) + (A91 * IFERROR(VLOOKUP(B91,BreakfastTable[],3,FALSE),0))</f>
        <v>9.5</v>
      </c>
      <c r="P85" s="29">
        <f>(A88 * IFERROR(VLOOKUP(B88,BreakfastTable[],4,FALSE),0)) + (A89 * IFERROR(VLOOKUP(B89,BreakfastTable[],4,FALSE),0)) + (A90 * IFERROR(VLOOKUP(B90,BreakfastTable[],4,FALSE),0)) + (A91 * IFERROR(VLOOKUP(B91,BreakfastTable[],4,FALSE),0))</f>
        <v>64.3</v>
      </c>
    </row>
    <row r="86" spans="1:16" x14ac:dyDescent="0.25">
      <c r="A86" s="17"/>
      <c r="B86" s="17"/>
      <c r="C86" s="17"/>
      <c r="D86" s="17"/>
      <c r="E86" s="17"/>
      <c r="F86" s="17"/>
      <c r="G86" s="28"/>
      <c r="H86" s="28"/>
      <c r="I86" s="25"/>
      <c r="J86" s="25"/>
      <c r="K86" s="25"/>
      <c r="L86" s="25"/>
      <c r="M86" s="29" t="s">
        <v>11</v>
      </c>
      <c r="N86" s="29">
        <f>(C88 * IFERROR(VLOOKUP(D88,LunchTable[],2,FALSE),0)) + (C89 * IFERROR(VLOOKUP(D89,LunchTable[],2,FALSE),0)) + (C90 * IFERROR(VLOOKUP(D90,LunchTable[],2,FALSE),0)) + (C91 * IFERROR(VLOOKUP(D91,LunchTable[],2,FALSE),0))</f>
        <v>83.625</v>
      </c>
      <c r="O86" s="29">
        <f>(C88 * IFERROR(VLOOKUP(D88,LunchTable[],3,FALSE),0)) + (C89 * IFERROR(VLOOKUP(D89,LunchTable[],3,FALSE),0)) + (C90 * IFERROR(VLOOKUP(D90,LunchTable[],3,FALSE),0)) + (C91 * IFERROR(VLOOKUP(D91,LunchTable[],3,FALSE),0))</f>
        <v>29.925000000000001</v>
      </c>
      <c r="P86" s="29">
        <f>(C88 * IFERROR(VLOOKUP(D88,LunchTable[],4,FALSE),0)) + (C89 * IFERROR(VLOOKUP(D89,LunchTable[],4,FALSE),0)) + (C90 * IFERROR(VLOOKUP(D90,LunchTable[],4,FALSE),0)) + (C91 * IFERROR(VLOOKUP(D91,LunchTable[],4,FALSE),0))</f>
        <v>54</v>
      </c>
    </row>
    <row r="87" spans="1:16" ht="18" thickBot="1" x14ac:dyDescent="0.35">
      <c r="A87" s="10" t="s">
        <v>34</v>
      </c>
      <c r="B87" s="11" t="s">
        <v>6</v>
      </c>
      <c r="C87" s="10" t="s">
        <v>34</v>
      </c>
      <c r="D87" s="11" t="s">
        <v>11</v>
      </c>
      <c r="E87" s="10" t="s">
        <v>34</v>
      </c>
      <c r="F87" s="11" t="s">
        <v>12</v>
      </c>
      <c r="G87" s="10" t="s">
        <v>34</v>
      </c>
      <c r="H87" s="12" t="s">
        <v>35</v>
      </c>
      <c r="I87" s="5" t="s">
        <v>41</v>
      </c>
      <c r="J87" s="5" t="s">
        <v>42</v>
      </c>
      <c r="K87" s="5" t="s">
        <v>43</v>
      </c>
      <c r="L87" s="25"/>
      <c r="M87" s="29" t="s">
        <v>12</v>
      </c>
      <c r="N87" s="29">
        <f>(E88 * IFERROR(VLOOKUP(F88,DinnerTable[],2,FALSE),0)) + (E89 * IFERROR(VLOOKUP(F89,DinnerTable[],2,FALSE),0)) + (E90 * IFERROR(VLOOKUP(F90,DinnerTable[],2,FALSE),0)) + (E91 * IFERROR(VLOOKUP(F91,DinnerTable[],2,FALSE),0))</f>
        <v>49.5</v>
      </c>
      <c r="O87" s="29">
        <f>(E88 * IFERROR(VLOOKUP(F88,DinnerTable[],3,FALSE),0)) + (E89 * IFERROR(VLOOKUP(F89,DinnerTable[],3,FALSE),0)) + (E90 * IFERROR(VLOOKUP(F90,DinnerTable[],3,FALSE),0)) + (E91 * IFERROR(VLOOKUP(F91,DinnerTable[],3,FALSE),0))</f>
        <v>38.1</v>
      </c>
      <c r="P87" s="29">
        <f>(E88 * IFERROR(VLOOKUP(F88,DinnerTable[],4,FALSE),0)) + (E89 * IFERROR(VLOOKUP(F89,DinnerTable[],4,FALSE),0)) + (E90 * IFERROR(VLOOKUP(F90,DinnerTable[],4,FALSE),0)) + (E91 * IFERROR(VLOOKUP(F91,DinnerTable[],4,FALSE),0))</f>
        <v>73.8</v>
      </c>
    </row>
    <row r="88" spans="1:16" ht="15.75" thickTop="1" x14ac:dyDescent="0.25">
      <c r="A88" s="17">
        <v>1</v>
      </c>
      <c r="B88" s="17" t="s">
        <v>27</v>
      </c>
      <c r="C88" s="17">
        <v>0.33</v>
      </c>
      <c r="D88" s="17" t="s">
        <v>60</v>
      </c>
      <c r="E88" s="17">
        <v>0.5</v>
      </c>
      <c r="F88" s="17" t="s">
        <v>45</v>
      </c>
      <c r="G88" s="17"/>
      <c r="H88" s="17"/>
      <c r="I88" s="2">
        <v>42</v>
      </c>
      <c r="J88" s="2">
        <v>18</v>
      </c>
      <c r="K88" s="2">
        <v>13.5</v>
      </c>
      <c r="L88" s="25"/>
      <c r="M88" s="29" t="s">
        <v>35</v>
      </c>
      <c r="N88" s="29">
        <f>(G88 * IFERROR(VLOOKUP(H88,PostWorkoutTable[],2,FALSE),0)) + (G89 * IFERROR(VLOOKUP(H89,PostWorkoutTable[],2,FALSE),0)) + (G90 * IFERROR(VLOOKUP(H90,PostWorkoutTable[],2,FALSE),0)) + (G91 * IFERROR(VLOOKUP(H91,PostWorkoutTable[],2,FALSE),0))</f>
        <v>0</v>
      </c>
      <c r="O88" s="29">
        <f>(G88 * IFERROR(VLOOKUP(H88,PostWorkoutTable[],3,FALSE),0)) + (G89 * IFERROR(VLOOKUP(H89,PostWorkoutTable[],3,FALSE),0)) + (G90 * IFERROR(VLOOKUP(H90,PostWorkoutTable[],3,FALSE),0)) + (G91 * IFERROR(VLOOKUP(H91,PostWorkoutTable[],3,FALSE),0))</f>
        <v>0</v>
      </c>
      <c r="P88" s="29">
        <f>(G88 * IFERROR(VLOOKUP(H88,PostWorkoutTable[],4,FALSE),0)) + (G89 * IFERROR(VLOOKUP(H89,PostWorkoutTable[],4,FALSE),0)) + (G90 * IFERROR(VLOOKUP(H90,PostWorkoutTable[],4,FALSE),0)) + (G91 * IFERROR(VLOOKUP(H91,PostWorkoutTable[],4,FALSE),0))</f>
        <v>0</v>
      </c>
    </row>
    <row r="89" spans="1:16" x14ac:dyDescent="0.25">
      <c r="A89" s="17">
        <v>1</v>
      </c>
      <c r="B89" s="17" t="s">
        <v>26</v>
      </c>
      <c r="C89" s="17">
        <v>3</v>
      </c>
      <c r="D89" s="17" t="s">
        <v>22</v>
      </c>
      <c r="E89" s="17">
        <v>1</v>
      </c>
      <c r="F89" s="17" t="s">
        <v>91</v>
      </c>
      <c r="G89" s="17"/>
      <c r="H89" s="17"/>
      <c r="I89" s="2"/>
      <c r="J89" s="2"/>
      <c r="K89" s="2"/>
      <c r="L89" s="25"/>
      <c r="M89" s="29" t="s">
        <v>21</v>
      </c>
      <c r="N89" s="29">
        <f xml:space="preserve"> SUM(I88:I91)</f>
        <v>42</v>
      </c>
      <c r="O89" s="29">
        <f>SUM(J88:J91)</f>
        <v>18</v>
      </c>
      <c r="P89" s="29">
        <f>SUM(K88:K91)</f>
        <v>13.5</v>
      </c>
    </row>
    <row r="90" spans="1:16" x14ac:dyDescent="0.25">
      <c r="A90" s="17"/>
      <c r="B90" s="17"/>
      <c r="C90" s="17"/>
      <c r="D90" s="17"/>
      <c r="E90" s="17">
        <v>0.5</v>
      </c>
      <c r="F90" s="17" t="s">
        <v>92</v>
      </c>
      <c r="G90" s="17"/>
      <c r="H90" s="17"/>
      <c r="I90" s="2"/>
      <c r="J90" s="2"/>
      <c r="K90" s="2"/>
      <c r="L90" s="25"/>
      <c r="M90" s="29" t="s">
        <v>38</v>
      </c>
      <c r="N90" s="29">
        <f>SUM(N85:N89)</f>
        <v>196.72499999999999</v>
      </c>
      <c r="O90" s="29">
        <f>SUM(O85:O89)</f>
        <v>95.525000000000006</v>
      </c>
      <c r="P90" s="29">
        <f>SUM(P85:P89)</f>
        <v>205.6</v>
      </c>
    </row>
    <row r="91" spans="1:16" x14ac:dyDescent="0.25">
      <c r="A91" s="17"/>
      <c r="B91" s="17"/>
      <c r="C91" s="17"/>
      <c r="D91" s="17"/>
      <c r="E91" s="17">
        <v>0.5</v>
      </c>
      <c r="F91" s="17" t="s">
        <v>79</v>
      </c>
      <c r="G91" s="17"/>
      <c r="H91" s="17"/>
      <c r="I91" s="2"/>
      <c r="J91" s="2"/>
      <c r="K91" s="2"/>
      <c r="L91" s="25"/>
      <c r="M91" s="25"/>
      <c r="N91" s="25"/>
      <c r="O91" s="25"/>
      <c r="P91" s="25"/>
    </row>
    <row r="92" spans="1:16" x14ac:dyDescent="0.25">
      <c r="A92" s="25"/>
      <c r="B92" s="25"/>
      <c r="C92" s="25"/>
      <c r="D92" s="25"/>
      <c r="E92" s="25"/>
      <c r="F92" s="25"/>
      <c r="G92" s="25"/>
      <c r="H92" s="25"/>
      <c r="I92" s="25"/>
      <c r="J92" s="25"/>
      <c r="K92" s="25"/>
      <c r="L92" s="25"/>
      <c r="M92" s="25"/>
      <c r="N92" s="25"/>
      <c r="O92" s="25"/>
      <c r="P92" s="25"/>
    </row>
    <row r="93" spans="1:16" ht="23.25" x14ac:dyDescent="0.35">
      <c r="A93" s="26">
        <v>43488</v>
      </c>
      <c r="B93" s="25"/>
      <c r="C93" s="25"/>
      <c r="D93" s="25"/>
      <c r="E93" s="25"/>
      <c r="F93" s="25"/>
      <c r="G93" s="25"/>
      <c r="H93" s="25"/>
      <c r="I93" s="25"/>
      <c r="J93" s="25"/>
      <c r="K93" s="25"/>
      <c r="L93" s="25"/>
      <c r="M93" s="25"/>
      <c r="N93" s="25"/>
      <c r="O93" s="25"/>
      <c r="P93" s="25"/>
    </row>
    <row r="94" spans="1:16" ht="18" thickBot="1" x14ac:dyDescent="0.35">
      <c r="A94" s="3" t="s">
        <v>48</v>
      </c>
      <c r="B94" s="3" t="s">
        <v>0</v>
      </c>
      <c r="C94" s="3" t="s">
        <v>36</v>
      </c>
      <c r="D94" s="3" t="s">
        <v>8</v>
      </c>
      <c r="E94" s="5" t="s">
        <v>9</v>
      </c>
      <c r="F94" s="5" t="s">
        <v>10</v>
      </c>
      <c r="G94" s="27"/>
      <c r="H94" s="28"/>
      <c r="I94" s="25"/>
      <c r="J94" s="25"/>
      <c r="K94" s="25"/>
      <c r="L94" s="25"/>
      <c r="M94" s="27"/>
      <c r="N94" s="29" t="s">
        <v>8</v>
      </c>
      <c r="O94" s="29" t="s">
        <v>9</v>
      </c>
      <c r="P94" s="29" t="s">
        <v>10</v>
      </c>
    </row>
    <row r="95" spans="1:16" ht="15.75" thickTop="1" x14ac:dyDescent="0.25">
      <c r="A95" s="18">
        <v>43486</v>
      </c>
      <c r="B95" s="16">
        <f>IFERROR(VLOOKUP(A95,OverviewTable[],2,FALSE),"?")</f>
        <v>123.6</v>
      </c>
      <c r="C95" s="16" t="str">
        <f>((N100 * 4) + (O100 * 9) + (P100 * 4))&amp;"/"&amp;IFERROR(VLOOKUP(A95,OverviewTable[],11,FALSE),"?")</f>
        <v>3010.1/2227.6</v>
      </c>
      <c r="D95" s="16" t="str">
        <f>N100&amp;"/"&amp;IFERROR(VLOOKUP(A95,OverviewTable[],12,FALSE),"?")</f>
        <v>142.5/124</v>
      </c>
      <c r="E95" s="16" t="str">
        <f>O100&amp;"/"&amp;IFERROR(VLOOKUP(A95,OverviewTable[],13,FALSE),"?")</f>
        <v>132.1/62</v>
      </c>
      <c r="F95" s="16" t="str">
        <f>P100&amp;"/"&amp;IFERROR(VLOOKUP(A95,OverviewTable[],14,FALSE),"?")</f>
        <v>312.8/293</v>
      </c>
      <c r="G95" s="28"/>
      <c r="H95" s="28"/>
      <c r="I95" s="25"/>
      <c r="J95" s="25"/>
      <c r="K95" s="25"/>
      <c r="L95" s="25"/>
      <c r="M95" s="29" t="s">
        <v>6</v>
      </c>
      <c r="N95" s="29">
        <f>(A98 * IFERROR(VLOOKUP(B98,BreakfastTable[],2,FALSE),0)) + (A99 * IFERROR(VLOOKUP(B99,BreakfastTable[],2,FALSE),0)) + (A100 * IFERROR(VLOOKUP(B100,BreakfastTable[],2,FALSE),0)) + (A101 * IFERROR(VLOOKUP(B101,BreakfastTable[],2,FALSE),0))</f>
        <v>20</v>
      </c>
      <c r="O95" s="29">
        <f>(A98 * IFERROR(VLOOKUP(B98,BreakfastTable[],3,FALSE),0)) + (A99 * IFERROR(VLOOKUP(B99,BreakfastTable[],3,FALSE),0)) + (A100 * IFERROR(VLOOKUP(B100,BreakfastTable[],3,FALSE),0)) + (A101 * IFERROR(VLOOKUP(B101,BreakfastTable[],3,FALSE),0))</f>
        <v>9</v>
      </c>
      <c r="P95" s="29">
        <f>(A98 * IFERROR(VLOOKUP(B98,BreakfastTable[],4,FALSE),0)) + (A99 * IFERROR(VLOOKUP(B99,BreakfastTable[],4,FALSE),0)) + (A100 * IFERROR(VLOOKUP(B100,BreakfastTable[],4,FALSE),0)) + (A101 * IFERROR(VLOOKUP(B101,BreakfastTable[],4,FALSE),0))</f>
        <v>30</v>
      </c>
    </row>
    <row r="96" spans="1:16" x14ac:dyDescent="0.25">
      <c r="A96" s="17"/>
      <c r="B96" s="17"/>
      <c r="C96" s="17"/>
      <c r="D96" s="17"/>
      <c r="E96" s="17"/>
      <c r="F96" s="17"/>
      <c r="G96" s="28"/>
      <c r="H96" s="28"/>
      <c r="I96" s="25"/>
      <c r="J96" s="25"/>
      <c r="K96" s="25"/>
      <c r="L96" s="25"/>
      <c r="M96" s="29" t="s">
        <v>11</v>
      </c>
      <c r="N96" s="29">
        <f>(C98 * IFERROR(VLOOKUP(D98,LunchTable[],2,FALSE),0)) + (C99 * IFERROR(VLOOKUP(D99,LunchTable[],2,FALSE),0)) + (C100 * IFERROR(VLOOKUP(D100,LunchTable[],2,FALSE),0)) + (C101 * IFERROR(VLOOKUP(D101,LunchTable[],2,FALSE),0))</f>
        <v>48</v>
      </c>
      <c r="O96" s="29">
        <f>(C98 * IFERROR(VLOOKUP(D98,LunchTable[],3,FALSE),0)) + (C99 * IFERROR(VLOOKUP(D99,LunchTable[],3,FALSE),0)) + (C100 * IFERROR(VLOOKUP(D100,LunchTable[],3,FALSE),0)) + (C101 * IFERROR(VLOOKUP(D101,LunchTable[],3,FALSE),0))</f>
        <v>62</v>
      </c>
      <c r="P96" s="29">
        <f>(C98 * IFERROR(VLOOKUP(D98,LunchTable[],4,FALSE),0)) + (C99 * IFERROR(VLOOKUP(D99,LunchTable[],4,FALSE),0)) + (C100 * IFERROR(VLOOKUP(D100,LunchTable[],4,FALSE),0)) + (C101 * IFERROR(VLOOKUP(D101,LunchTable[],4,FALSE),0))</f>
        <v>169</v>
      </c>
    </row>
    <row r="97" spans="1:16" ht="18" thickBot="1" x14ac:dyDescent="0.35">
      <c r="A97" s="10" t="s">
        <v>34</v>
      </c>
      <c r="B97" s="11" t="s">
        <v>6</v>
      </c>
      <c r="C97" s="10" t="s">
        <v>34</v>
      </c>
      <c r="D97" s="11" t="s">
        <v>11</v>
      </c>
      <c r="E97" s="10" t="s">
        <v>34</v>
      </c>
      <c r="F97" s="11" t="s">
        <v>12</v>
      </c>
      <c r="G97" s="10" t="s">
        <v>34</v>
      </c>
      <c r="H97" s="12" t="s">
        <v>35</v>
      </c>
      <c r="I97" s="5" t="s">
        <v>41</v>
      </c>
      <c r="J97" s="5" t="s">
        <v>42</v>
      </c>
      <c r="K97" s="5" t="s">
        <v>43</v>
      </c>
      <c r="L97" s="25"/>
      <c r="M97" s="29" t="s">
        <v>12</v>
      </c>
      <c r="N97" s="29">
        <f>(E98 * IFERROR(VLOOKUP(F98,DinnerTable[],2,FALSE),0)) + (E99 * IFERROR(VLOOKUP(F99,DinnerTable[],2,FALSE),0)) + (E100 * IFERROR(VLOOKUP(F100,DinnerTable[],2,FALSE),0)) + (E101 * IFERROR(VLOOKUP(F101,DinnerTable[],2,FALSE),0))</f>
        <v>49.5</v>
      </c>
      <c r="O97" s="29">
        <f>(E98 * IFERROR(VLOOKUP(F98,DinnerTable[],3,FALSE),0)) + (E99 * IFERROR(VLOOKUP(F99,DinnerTable[],3,FALSE),0)) + (E100 * IFERROR(VLOOKUP(F100,DinnerTable[],3,FALSE),0)) + (E101 * IFERROR(VLOOKUP(F101,DinnerTable[],3,FALSE),0))</f>
        <v>38.1</v>
      </c>
      <c r="P97" s="29">
        <f>(E98 * IFERROR(VLOOKUP(F98,DinnerTable[],4,FALSE),0)) + (E99 * IFERROR(VLOOKUP(F99,DinnerTable[],4,FALSE),0)) + (E100 * IFERROR(VLOOKUP(F100,DinnerTable[],4,FALSE),0)) + (E101 * IFERROR(VLOOKUP(F101,DinnerTable[],4,FALSE),0))</f>
        <v>73.8</v>
      </c>
    </row>
    <row r="98" spans="1:16" ht="15.75" thickTop="1" x14ac:dyDescent="0.25">
      <c r="A98" s="17">
        <v>1</v>
      </c>
      <c r="B98" s="17" t="s">
        <v>26</v>
      </c>
      <c r="C98" s="17">
        <v>1</v>
      </c>
      <c r="D98" s="17" t="s">
        <v>24</v>
      </c>
      <c r="E98" s="17">
        <v>0.5</v>
      </c>
      <c r="F98" s="17" t="s">
        <v>45</v>
      </c>
      <c r="G98" s="17"/>
      <c r="H98" s="17"/>
      <c r="I98" s="2">
        <v>21</v>
      </c>
      <c r="J98" s="2">
        <v>9</v>
      </c>
      <c r="K98" s="2">
        <v>7</v>
      </c>
      <c r="L98" s="25"/>
      <c r="M98" s="29" t="s">
        <v>35</v>
      </c>
      <c r="N98" s="29">
        <f>(G98 * IFERROR(VLOOKUP(H98,PostWorkoutTable[],2,FALSE),0)) + (G99 * IFERROR(VLOOKUP(H99,PostWorkoutTable[],2,FALSE),0)) + (G100 * IFERROR(VLOOKUP(H100,PostWorkoutTable[],2,FALSE),0)) + (G101 * IFERROR(VLOOKUP(H101,PostWorkoutTable[],2,FALSE),0))</f>
        <v>0</v>
      </c>
      <c r="O98" s="29">
        <f>(G98 * IFERROR(VLOOKUP(H98,PostWorkoutTable[],3,FALSE),0)) + (G99 * IFERROR(VLOOKUP(H99,PostWorkoutTable[],3,FALSE),0)) + (G100 * IFERROR(VLOOKUP(H100,PostWorkoutTable[],3,FALSE),0)) + (G101 * IFERROR(VLOOKUP(H101,PostWorkoutTable[],3,FALSE),0))</f>
        <v>0</v>
      </c>
      <c r="P98" s="29">
        <f>(G98 * IFERROR(VLOOKUP(H98,PostWorkoutTable[],4,FALSE),0)) + (G99 * IFERROR(VLOOKUP(H99,PostWorkoutTable[],4,FALSE),0)) + (G100 * IFERROR(VLOOKUP(H100,PostWorkoutTable[],4,FALSE),0)) + (G101 * IFERROR(VLOOKUP(H101,PostWorkoutTable[],4,FALSE),0))</f>
        <v>0</v>
      </c>
    </row>
    <row r="99" spans="1:16" x14ac:dyDescent="0.25">
      <c r="A99" s="17"/>
      <c r="B99" s="17"/>
      <c r="C99" s="17">
        <v>1</v>
      </c>
      <c r="D99" s="17" t="s">
        <v>55</v>
      </c>
      <c r="E99" s="17">
        <v>1</v>
      </c>
      <c r="F99" s="17" t="s">
        <v>91</v>
      </c>
      <c r="G99" s="17"/>
      <c r="H99" s="17"/>
      <c r="I99" s="2">
        <v>4</v>
      </c>
      <c r="J99" s="2">
        <v>14</v>
      </c>
      <c r="K99" s="2">
        <v>33</v>
      </c>
      <c r="L99" s="25"/>
      <c r="M99" s="29" t="s">
        <v>21</v>
      </c>
      <c r="N99" s="29">
        <f xml:space="preserve"> SUM(I98:I101)</f>
        <v>25</v>
      </c>
      <c r="O99" s="29">
        <f>SUM(J98:J101)</f>
        <v>23</v>
      </c>
      <c r="P99" s="29">
        <f>SUM(K98:K101)</f>
        <v>40</v>
      </c>
    </row>
    <row r="100" spans="1:16" x14ac:dyDescent="0.25">
      <c r="A100" s="17"/>
      <c r="B100" s="17"/>
      <c r="C100" s="17">
        <v>1</v>
      </c>
      <c r="D100" s="17" t="s">
        <v>54</v>
      </c>
      <c r="E100" s="17">
        <v>0.5</v>
      </c>
      <c r="F100" s="17" t="s">
        <v>92</v>
      </c>
      <c r="G100" s="17"/>
      <c r="H100" s="17"/>
      <c r="I100" s="2"/>
      <c r="J100" s="2"/>
      <c r="K100" s="2"/>
      <c r="L100" s="25"/>
      <c r="M100" s="29" t="s">
        <v>38</v>
      </c>
      <c r="N100" s="29">
        <f>SUM(N95:N99)</f>
        <v>142.5</v>
      </c>
      <c r="O100" s="29">
        <f>SUM(O95:O99)</f>
        <v>132.1</v>
      </c>
      <c r="P100" s="29">
        <f>SUM(P95:P99)</f>
        <v>312.8</v>
      </c>
    </row>
    <row r="101" spans="1:16" x14ac:dyDescent="0.25">
      <c r="A101" s="17"/>
      <c r="B101" s="17"/>
      <c r="C101" s="17"/>
      <c r="D101" s="17"/>
      <c r="E101" s="17">
        <v>0.5</v>
      </c>
      <c r="F101" s="17" t="s">
        <v>79</v>
      </c>
      <c r="G101" s="17"/>
      <c r="H101" s="17"/>
      <c r="I101" s="2"/>
      <c r="J101" s="2"/>
      <c r="K101" s="2"/>
      <c r="L101" s="25"/>
      <c r="M101" s="25"/>
      <c r="N101" s="25"/>
      <c r="O101" s="25"/>
      <c r="P101" s="25"/>
    </row>
    <row r="102" spans="1:16" x14ac:dyDescent="0.25">
      <c r="A102" s="25"/>
      <c r="B102" s="25"/>
      <c r="C102" s="25"/>
      <c r="D102" s="25"/>
      <c r="E102" s="25"/>
      <c r="F102" s="25"/>
      <c r="G102" s="25"/>
      <c r="H102" s="25"/>
      <c r="I102" s="25"/>
      <c r="J102" s="25"/>
      <c r="K102" s="25"/>
      <c r="L102" s="25"/>
      <c r="M102" s="25"/>
      <c r="N102" s="25"/>
      <c r="O102" s="25"/>
      <c r="P102" s="25"/>
    </row>
    <row r="103" spans="1:16" ht="23.25" x14ac:dyDescent="0.35">
      <c r="A103" s="26">
        <v>43489</v>
      </c>
      <c r="B103" s="25"/>
      <c r="C103" s="25"/>
      <c r="D103" s="25"/>
      <c r="E103" s="25"/>
      <c r="F103" s="25"/>
      <c r="G103" s="25"/>
      <c r="H103" s="25"/>
      <c r="I103" s="25"/>
      <c r="J103" s="25"/>
      <c r="K103" s="25"/>
      <c r="L103" s="25"/>
      <c r="M103" s="25"/>
      <c r="N103" s="25"/>
      <c r="O103" s="25"/>
      <c r="P103" s="25"/>
    </row>
    <row r="104" spans="1:16" ht="18" thickBot="1" x14ac:dyDescent="0.35">
      <c r="A104" s="3" t="s">
        <v>48</v>
      </c>
      <c r="B104" s="3" t="s">
        <v>0</v>
      </c>
      <c r="C104" s="3" t="s">
        <v>36</v>
      </c>
      <c r="D104" s="3" t="s">
        <v>8</v>
      </c>
      <c r="E104" s="5" t="s">
        <v>9</v>
      </c>
      <c r="F104" s="5" t="s">
        <v>10</v>
      </c>
      <c r="G104" s="27"/>
      <c r="H104" s="28"/>
      <c r="I104" s="25"/>
      <c r="J104" s="25"/>
      <c r="K104" s="25"/>
      <c r="L104" s="25"/>
      <c r="M104" s="27"/>
      <c r="N104" s="29" t="s">
        <v>8</v>
      </c>
      <c r="O104" s="29" t="s">
        <v>9</v>
      </c>
      <c r="P104" s="29" t="s">
        <v>10</v>
      </c>
    </row>
    <row r="105" spans="1:16" ht="15.75" thickTop="1" x14ac:dyDescent="0.25">
      <c r="A105" s="18">
        <v>43486</v>
      </c>
      <c r="B105" s="16">
        <f>IFERROR(VLOOKUP(A105,OverviewTable[],2,FALSE),"?")</f>
        <v>123.6</v>
      </c>
      <c r="C105" s="16" t="str">
        <f>((N110 * 4) + (O110 * 9) + (P110 * 4))&amp;"/"&amp;IFERROR(VLOOKUP(A105,OverviewTable[],11,FALSE),"?")</f>
        <v>1592.3/2227.6</v>
      </c>
      <c r="D105" s="16" t="str">
        <f>N110&amp;"/"&amp;IFERROR(VLOOKUP(A105,OverviewTable[],12,FALSE),"?")</f>
        <v>129.3/124</v>
      </c>
      <c r="E105" s="16" t="str">
        <f>O110&amp;"/"&amp;IFERROR(VLOOKUP(A105,OverviewTable[],13,FALSE),"?")</f>
        <v>40.7/62</v>
      </c>
      <c r="F105" s="16" t="str">
        <f>P110&amp;"/"&amp;IFERROR(VLOOKUP(A105,OverviewTable[],14,FALSE),"?")</f>
        <v>177.2/293</v>
      </c>
      <c r="G105" s="28"/>
      <c r="H105" s="28"/>
      <c r="I105" s="25"/>
      <c r="J105" s="25"/>
      <c r="K105" s="25"/>
      <c r="L105" s="25"/>
      <c r="M105" s="29" t="s">
        <v>6</v>
      </c>
      <c r="N105" s="29">
        <f>(A108 * IFERROR(VLOOKUP(B108,BreakfastTable[],2,FALSE),0)) + (A109 * IFERROR(VLOOKUP(B109,BreakfastTable[],2,FALSE),0)) + (A110 * IFERROR(VLOOKUP(B110,BreakfastTable[],2,FALSE),0)) + (A111 * IFERROR(VLOOKUP(B111,BreakfastTable[],2,FALSE),0))</f>
        <v>21.6</v>
      </c>
      <c r="O105" s="29">
        <f>(A108 * IFERROR(VLOOKUP(B108,BreakfastTable[],3,FALSE),0)) + (A109 * IFERROR(VLOOKUP(B109,BreakfastTable[],3,FALSE),0)) + (A110 * IFERROR(VLOOKUP(B110,BreakfastTable[],3,FALSE),0)) + (A111 * IFERROR(VLOOKUP(B111,BreakfastTable[],3,FALSE),0))</f>
        <v>9.5</v>
      </c>
      <c r="P105" s="29">
        <f>(A108 * IFERROR(VLOOKUP(B108,BreakfastTable[],4,FALSE),0)) + (A109 * IFERROR(VLOOKUP(B109,BreakfastTable[],4,FALSE),0)) + (A110 * IFERROR(VLOOKUP(B110,BreakfastTable[],4,FALSE),0)) + (A111 * IFERROR(VLOOKUP(B111,BreakfastTable[],4,FALSE),0))</f>
        <v>64.3</v>
      </c>
    </row>
    <row r="106" spans="1:16" x14ac:dyDescent="0.25">
      <c r="A106" s="17"/>
      <c r="B106" s="17"/>
      <c r="C106" s="17"/>
      <c r="D106" s="17"/>
      <c r="E106" s="17"/>
      <c r="F106" s="17"/>
      <c r="G106" s="28"/>
      <c r="H106" s="28"/>
      <c r="I106" s="25"/>
      <c r="J106" s="25"/>
      <c r="K106" s="25"/>
      <c r="L106" s="25"/>
      <c r="M106" s="29" t="s">
        <v>11</v>
      </c>
      <c r="N106" s="29">
        <f>(C108 * IFERROR(VLOOKUP(D108,LunchTable[],2,FALSE),0)) + (C109 * IFERROR(VLOOKUP(D109,LunchTable[],2,FALSE),0)) + (C110 * IFERROR(VLOOKUP(D110,LunchTable[],2,FALSE),0)) + (C111 * IFERROR(VLOOKUP(D111,LunchTable[],2,FALSE),0))</f>
        <v>46</v>
      </c>
      <c r="O106" s="29">
        <f>(C108 * IFERROR(VLOOKUP(D108,LunchTable[],3,FALSE),0)) + (C109 * IFERROR(VLOOKUP(D109,LunchTable[],3,FALSE),0)) + (C110 * IFERROR(VLOOKUP(D110,LunchTable[],3,FALSE),0)) + (C111 * IFERROR(VLOOKUP(D111,LunchTable[],3,FALSE),0))</f>
        <v>15.5</v>
      </c>
      <c r="P106" s="29">
        <f>(C108 * IFERROR(VLOOKUP(D108,LunchTable[],4,FALSE),0)) + (C109 * IFERROR(VLOOKUP(D109,LunchTable[],4,FALSE),0)) + (C110 * IFERROR(VLOOKUP(D110,LunchTable[],4,FALSE),0)) + (C111 * IFERROR(VLOOKUP(D111,LunchTable[],4,FALSE),0))</f>
        <v>35</v>
      </c>
    </row>
    <row r="107" spans="1:16" ht="18" thickBot="1" x14ac:dyDescent="0.35">
      <c r="A107" s="10" t="s">
        <v>34</v>
      </c>
      <c r="B107" s="11" t="s">
        <v>6</v>
      </c>
      <c r="C107" s="10" t="s">
        <v>34</v>
      </c>
      <c r="D107" s="11" t="s">
        <v>11</v>
      </c>
      <c r="E107" s="10" t="s">
        <v>34</v>
      </c>
      <c r="F107" s="11" t="s">
        <v>12</v>
      </c>
      <c r="G107" s="10" t="s">
        <v>34</v>
      </c>
      <c r="H107" s="12" t="s">
        <v>35</v>
      </c>
      <c r="I107" s="5" t="s">
        <v>41</v>
      </c>
      <c r="J107" s="5" t="s">
        <v>42</v>
      </c>
      <c r="K107" s="5" t="s">
        <v>43</v>
      </c>
      <c r="L107" s="25"/>
      <c r="M107" s="29" t="s">
        <v>12</v>
      </c>
      <c r="N107" s="29">
        <f>(E108 * IFERROR(VLOOKUP(F108,DinnerTable[],2,FALSE),0)) + (E109 * IFERROR(VLOOKUP(F109,DinnerTable[],2,FALSE),0)) + (E110 * IFERROR(VLOOKUP(F110,DinnerTable[],2,FALSE),0)) + (E111 * IFERROR(VLOOKUP(F111,DinnerTable[],2,FALSE),0))</f>
        <v>29.5</v>
      </c>
      <c r="O107" s="29">
        <f>(E108 * IFERROR(VLOOKUP(F108,DinnerTable[],3,FALSE),0)) + (E109 * IFERROR(VLOOKUP(F109,DinnerTable[],3,FALSE),0)) + (E110 * IFERROR(VLOOKUP(F110,DinnerTable[],3,FALSE),0)) + (E111 * IFERROR(VLOOKUP(F111,DinnerTable[],3,FALSE),0))</f>
        <v>1</v>
      </c>
      <c r="P107" s="29">
        <f>(E108 * IFERROR(VLOOKUP(F108,DinnerTable[],4,FALSE),0)) + (E109 * IFERROR(VLOOKUP(F109,DinnerTable[],4,FALSE),0)) + (E110 * IFERROR(VLOOKUP(F110,DinnerTable[],4,FALSE),0)) + (E111 * IFERROR(VLOOKUP(F111,DinnerTable[],4,FALSE),0))</f>
        <v>22.5</v>
      </c>
    </row>
    <row r="108" spans="1:16" ht="15.75" thickTop="1" x14ac:dyDescent="0.25">
      <c r="A108" s="17">
        <v>1</v>
      </c>
      <c r="B108" s="17" t="s">
        <v>27</v>
      </c>
      <c r="C108" s="17">
        <v>2</v>
      </c>
      <c r="D108" s="17" t="s">
        <v>57</v>
      </c>
      <c r="E108" s="17">
        <v>1</v>
      </c>
      <c r="F108" s="17" t="s">
        <v>50</v>
      </c>
      <c r="G108" s="17">
        <v>1</v>
      </c>
      <c r="H108" s="17" t="s">
        <v>97</v>
      </c>
      <c r="I108" s="2"/>
      <c r="J108" s="2"/>
      <c r="K108" s="2"/>
      <c r="L108" s="25"/>
      <c r="M108" s="29" t="s">
        <v>35</v>
      </c>
      <c r="N108" s="29">
        <f>(G108 * IFERROR(VLOOKUP(H108,PostWorkoutTable[],2,FALSE),0)) + (G109 * IFERROR(VLOOKUP(H109,PostWorkoutTable[],2,FALSE),0)) + (G110 * IFERROR(VLOOKUP(H110,PostWorkoutTable[],2,FALSE),0)) + (G111 * IFERROR(VLOOKUP(H111,PostWorkoutTable[],2,FALSE),0))</f>
        <v>32.200000000000003</v>
      </c>
      <c r="O108" s="29">
        <f>(G108 * IFERROR(VLOOKUP(H108,PostWorkoutTable[],3,FALSE),0)) + (G109 * IFERROR(VLOOKUP(H109,PostWorkoutTable[],3,FALSE),0)) + (G110 * IFERROR(VLOOKUP(H110,PostWorkoutTable[],3,FALSE),0)) + (G111 * IFERROR(VLOOKUP(H111,PostWorkoutTable[],3,FALSE),0))</f>
        <v>14.7</v>
      </c>
      <c r="P108" s="29">
        <f>(G108 * IFERROR(VLOOKUP(H108,PostWorkoutTable[],4,FALSE),0)) + (G109 * IFERROR(VLOOKUP(H109,PostWorkoutTable[],4,FALSE),0)) + (G110 * IFERROR(VLOOKUP(H110,PostWorkoutTable[],4,FALSE),0)) + (G111 * IFERROR(VLOOKUP(H111,PostWorkoutTable[],4,FALSE),0))</f>
        <v>55.4</v>
      </c>
    </row>
    <row r="109" spans="1:16" x14ac:dyDescent="0.25">
      <c r="A109" s="17">
        <v>1</v>
      </c>
      <c r="B109" s="17" t="s">
        <v>26</v>
      </c>
      <c r="C109" s="17">
        <v>0.5</v>
      </c>
      <c r="D109" s="17" t="s">
        <v>51</v>
      </c>
      <c r="E109" s="17">
        <v>0.5</v>
      </c>
      <c r="F109" s="17" t="s">
        <v>32</v>
      </c>
      <c r="G109" s="17"/>
      <c r="H109" s="17"/>
      <c r="I109" s="2"/>
      <c r="J109" s="2"/>
      <c r="K109" s="2"/>
      <c r="L109" s="25"/>
      <c r="M109" s="29" t="s">
        <v>21</v>
      </c>
      <c r="N109" s="29">
        <f xml:space="preserve"> SUM(I108:I111)</f>
        <v>0</v>
      </c>
      <c r="O109" s="29">
        <f>SUM(J108:J111)</f>
        <v>0</v>
      </c>
      <c r="P109" s="29">
        <f>SUM(K108:K111)</f>
        <v>0</v>
      </c>
    </row>
    <row r="110" spans="1:16" x14ac:dyDescent="0.25">
      <c r="A110" s="17"/>
      <c r="B110" s="17"/>
      <c r="C110" s="17">
        <v>1</v>
      </c>
      <c r="D110" s="17" t="s">
        <v>90</v>
      </c>
      <c r="E110" s="17"/>
      <c r="F110" s="17"/>
      <c r="G110" s="17"/>
      <c r="H110" s="17"/>
      <c r="I110" s="2"/>
      <c r="J110" s="2"/>
      <c r="K110" s="2"/>
      <c r="L110" s="25"/>
      <c r="M110" s="29" t="s">
        <v>38</v>
      </c>
      <c r="N110" s="29">
        <f>SUM(N105:N109)</f>
        <v>129.30000000000001</v>
      </c>
      <c r="O110" s="29">
        <f>SUM(O105:O109)</f>
        <v>40.700000000000003</v>
      </c>
      <c r="P110" s="29">
        <f>SUM(P105:P109)</f>
        <v>177.2</v>
      </c>
    </row>
    <row r="111" spans="1:16" x14ac:dyDescent="0.25">
      <c r="A111" s="17"/>
      <c r="B111" s="17"/>
      <c r="C111" s="17"/>
      <c r="D111" s="17"/>
      <c r="E111" s="17"/>
      <c r="F111" s="17"/>
      <c r="G111" s="17"/>
      <c r="H111" s="17"/>
      <c r="I111" s="2"/>
      <c r="J111" s="2"/>
      <c r="K111" s="2"/>
      <c r="L111" s="25"/>
      <c r="M111" s="25"/>
      <c r="N111" s="25"/>
      <c r="O111" s="25"/>
      <c r="P111" s="25"/>
    </row>
    <row r="112" spans="1:16" x14ac:dyDescent="0.25">
      <c r="A112" s="25"/>
      <c r="B112" s="25"/>
      <c r="C112" s="25"/>
      <c r="D112" s="25"/>
      <c r="E112" s="25"/>
      <c r="F112" s="25"/>
      <c r="G112" s="25"/>
      <c r="H112" s="25"/>
      <c r="I112" s="25"/>
      <c r="J112" s="25"/>
      <c r="K112" s="25"/>
      <c r="L112" s="25"/>
      <c r="M112" s="25"/>
      <c r="N112" s="25"/>
      <c r="O112" s="25"/>
      <c r="P112" s="25"/>
    </row>
    <row r="113" spans="1:16" ht="23.25" x14ac:dyDescent="0.35">
      <c r="A113" s="26">
        <v>43490</v>
      </c>
      <c r="B113" s="25"/>
      <c r="C113" s="25"/>
      <c r="D113" s="25"/>
      <c r="E113" s="25"/>
      <c r="F113" s="25"/>
      <c r="G113" s="25"/>
      <c r="H113" s="25"/>
      <c r="I113" s="25"/>
      <c r="J113" s="25"/>
      <c r="K113" s="25"/>
      <c r="L113" s="25"/>
      <c r="M113" s="25"/>
      <c r="N113" s="25"/>
      <c r="O113" s="25"/>
      <c r="P113" s="25"/>
    </row>
    <row r="114" spans="1:16" ht="18" thickBot="1" x14ac:dyDescent="0.35">
      <c r="A114" s="3" t="s">
        <v>48</v>
      </c>
      <c r="B114" s="3" t="s">
        <v>0</v>
      </c>
      <c r="C114" s="3" t="s">
        <v>36</v>
      </c>
      <c r="D114" s="3" t="s">
        <v>8</v>
      </c>
      <c r="E114" s="5" t="s">
        <v>9</v>
      </c>
      <c r="F114" s="5" t="s">
        <v>10</v>
      </c>
      <c r="G114" s="27"/>
      <c r="H114" s="28"/>
      <c r="I114" s="25"/>
      <c r="J114" s="25"/>
      <c r="K114" s="25"/>
      <c r="L114" s="25"/>
      <c r="M114" s="27"/>
      <c r="N114" s="29" t="s">
        <v>8</v>
      </c>
      <c r="O114" s="29" t="s">
        <v>9</v>
      </c>
      <c r="P114" s="29" t="s">
        <v>10</v>
      </c>
    </row>
    <row r="115" spans="1:16" ht="15.75" thickTop="1" x14ac:dyDescent="0.25">
      <c r="A115" s="18">
        <v>43486</v>
      </c>
      <c r="B115" s="16">
        <f>IFERROR(VLOOKUP(A115,OverviewTable[],2,FALSE),"?")</f>
        <v>123.6</v>
      </c>
      <c r="C115" s="16" t="str">
        <f>((N120 * 4) + (O120 * 9) + (P120 * 4))&amp;"/"&amp;IFERROR(VLOOKUP(A115,OverviewTable[],11,FALSE),"?")</f>
        <v>2239/2227.6</v>
      </c>
      <c r="D115" s="16" t="str">
        <f>N120&amp;"/"&amp;IFERROR(VLOOKUP(A115,OverviewTable[],12,FALSE),"?")</f>
        <v>118/124</v>
      </c>
      <c r="E115" s="16" t="str">
        <f>O120&amp;"/"&amp;IFERROR(VLOOKUP(A115,OverviewTable[],13,FALSE),"?")</f>
        <v>86.6/62</v>
      </c>
      <c r="F115" s="16" t="str">
        <f>P120&amp;"/"&amp;IFERROR(VLOOKUP(A115,OverviewTable[],14,FALSE),"?")</f>
        <v>246.9/293</v>
      </c>
      <c r="G115" s="28"/>
      <c r="H115" s="28"/>
      <c r="I115" s="25"/>
      <c r="J115" s="25"/>
      <c r="K115" s="25"/>
      <c r="L115" s="25"/>
      <c r="M115" s="29" t="s">
        <v>6</v>
      </c>
      <c r="N115" s="29">
        <f>(A118 * IFERROR(VLOOKUP(B118,BreakfastTable[],2,FALSE),0)) + (A119 * IFERROR(VLOOKUP(B119,BreakfastTable[],2,FALSE),0)) + (A120 * IFERROR(VLOOKUP(B120,BreakfastTable[],2,FALSE),0)) + (A121 * IFERROR(VLOOKUP(B121,BreakfastTable[],2,FALSE),0))</f>
        <v>20</v>
      </c>
      <c r="O115" s="29">
        <f>(A118 * IFERROR(VLOOKUP(B118,BreakfastTable[],3,FALSE),0)) + (A119 * IFERROR(VLOOKUP(B119,BreakfastTable[],3,FALSE),0)) + (A120 * IFERROR(VLOOKUP(B120,BreakfastTable[],3,FALSE),0)) + (A121 * IFERROR(VLOOKUP(B121,BreakfastTable[],3,FALSE),0))</f>
        <v>9</v>
      </c>
      <c r="P115" s="29">
        <f>(A118 * IFERROR(VLOOKUP(B118,BreakfastTable[],4,FALSE),0)) + (A119 * IFERROR(VLOOKUP(B119,BreakfastTable[],4,FALSE),0)) + (A120 * IFERROR(VLOOKUP(B120,BreakfastTable[],4,FALSE),0)) + (A121 * IFERROR(VLOOKUP(B121,BreakfastTable[],4,FALSE),0))</f>
        <v>30</v>
      </c>
    </row>
    <row r="116" spans="1:16" x14ac:dyDescent="0.25">
      <c r="A116" s="17"/>
      <c r="B116" s="17"/>
      <c r="C116" s="17"/>
      <c r="D116" s="17"/>
      <c r="E116" s="17"/>
      <c r="F116" s="17"/>
      <c r="G116" s="28"/>
      <c r="H116" s="28"/>
      <c r="I116" s="25"/>
      <c r="J116" s="25"/>
      <c r="K116" s="25"/>
      <c r="L116" s="25"/>
      <c r="M116" s="29" t="s">
        <v>11</v>
      </c>
      <c r="N116" s="29">
        <f>(C118 * IFERROR(VLOOKUP(D118,LunchTable[],2,FALSE),0)) + (C119 * IFERROR(VLOOKUP(D119,LunchTable[],2,FALSE),0)) + (C120 * IFERROR(VLOOKUP(D120,LunchTable[],2,FALSE),0)) + (C121 * IFERROR(VLOOKUP(D121,LunchTable[],2,FALSE),0))</f>
        <v>0</v>
      </c>
      <c r="O116" s="29">
        <f>(C118 * IFERROR(VLOOKUP(D118,LunchTable[],3,FALSE),0)) + (C119 * IFERROR(VLOOKUP(D119,LunchTable[],3,FALSE),0)) + (C120 * IFERROR(VLOOKUP(D120,LunchTable[],3,FALSE),0)) + (C121 * IFERROR(VLOOKUP(D121,LunchTable[],3,FALSE),0))</f>
        <v>0</v>
      </c>
      <c r="P116" s="29">
        <f>(C118 * IFERROR(VLOOKUP(D118,LunchTable[],4,FALSE),0)) + (C119 * IFERROR(VLOOKUP(D119,LunchTable[],4,FALSE),0)) + (C120 * IFERROR(VLOOKUP(D120,LunchTable[],4,FALSE),0)) + (C121 * IFERROR(VLOOKUP(D121,LunchTable[],4,FALSE),0))</f>
        <v>0</v>
      </c>
    </row>
    <row r="117" spans="1:16" ht="18" thickBot="1" x14ac:dyDescent="0.35">
      <c r="A117" s="10" t="s">
        <v>34</v>
      </c>
      <c r="B117" s="11" t="s">
        <v>6</v>
      </c>
      <c r="C117" s="10" t="s">
        <v>34</v>
      </c>
      <c r="D117" s="11" t="s">
        <v>11</v>
      </c>
      <c r="E117" s="10" t="s">
        <v>34</v>
      </c>
      <c r="F117" s="11" t="s">
        <v>12</v>
      </c>
      <c r="G117" s="10" t="s">
        <v>34</v>
      </c>
      <c r="H117" s="12" t="s">
        <v>35</v>
      </c>
      <c r="I117" s="5" t="s">
        <v>41</v>
      </c>
      <c r="J117" s="5" t="s">
        <v>42</v>
      </c>
      <c r="K117" s="5" t="s">
        <v>43</v>
      </c>
      <c r="L117" s="25"/>
      <c r="M117" s="29" t="s">
        <v>12</v>
      </c>
      <c r="N117" s="29">
        <f>(E118 * IFERROR(VLOOKUP(F118,DinnerTable[],2,FALSE),0)) + (E119 * IFERROR(VLOOKUP(F119,DinnerTable[],2,FALSE),0)) + (E120 * IFERROR(VLOOKUP(F120,DinnerTable[],2,FALSE),0)) + (E121 * IFERROR(VLOOKUP(F121,DinnerTable[],2,FALSE),0))</f>
        <v>0</v>
      </c>
      <c r="O117" s="29">
        <f>(E118 * IFERROR(VLOOKUP(F118,DinnerTable[],3,FALSE),0)) + (E119 * IFERROR(VLOOKUP(F119,DinnerTable[],3,FALSE),0)) + (E120 * IFERROR(VLOOKUP(F120,DinnerTable[],3,FALSE),0)) + (E121 * IFERROR(VLOOKUP(F121,DinnerTable[],3,FALSE),0))</f>
        <v>0</v>
      </c>
      <c r="P117" s="29">
        <f>(E118 * IFERROR(VLOOKUP(F118,DinnerTable[],4,FALSE),0)) + (E119 * IFERROR(VLOOKUP(F119,DinnerTable[],4,FALSE),0)) + (E120 * IFERROR(VLOOKUP(F120,DinnerTable[],4,FALSE),0)) + (E121 * IFERROR(VLOOKUP(F121,DinnerTable[],4,FALSE),0))</f>
        <v>0</v>
      </c>
    </row>
    <row r="118" spans="1:16" ht="15.75" thickTop="1" x14ac:dyDescent="0.25">
      <c r="A118" s="17">
        <v>1</v>
      </c>
      <c r="B118" s="17" t="s">
        <v>26</v>
      </c>
      <c r="C118" s="17"/>
      <c r="D118" s="17"/>
      <c r="E118" s="17"/>
      <c r="F118" s="17"/>
      <c r="G118" s="17"/>
      <c r="H118" s="17"/>
      <c r="I118" s="2">
        <v>25</v>
      </c>
      <c r="J118" s="2">
        <v>25</v>
      </c>
      <c r="K118" s="2">
        <v>3.9</v>
      </c>
      <c r="L118" s="25"/>
      <c r="M118" s="29" t="s">
        <v>35</v>
      </c>
      <c r="N118" s="29">
        <f>(G118 * IFERROR(VLOOKUP(H118,PostWorkoutTable[],2,FALSE),0)) + (G119 * IFERROR(VLOOKUP(H119,PostWorkoutTable[],2,FALSE),0)) + (G120 * IFERROR(VLOOKUP(H120,PostWorkoutTable[],2,FALSE),0)) + (G121 * IFERROR(VLOOKUP(H121,PostWorkoutTable[],2,FALSE),0))</f>
        <v>0</v>
      </c>
      <c r="O118" s="29">
        <f>(G118 * IFERROR(VLOOKUP(H118,PostWorkoutTable[],3,FALSE),0)) + (G119 * IFERROR(VLOOKUP(H119,PostWorkoutTable[],3,FALSE),0)) + (G120 * IFERROR(VLOOKUP(H120,PostWorkoutTable[],3,FALSE),0)) + (G121 * IFERROR(VLOOKUP(H121,PostWorkoutTable[],3,FALSE),0))</f>
        <v>0</v>
      </c>
      <c r="P118" s="29">
        <f>(G118 * IFERROR(VLOOKUP(H118,PostWorkoutTable[],4,FALSE),0)) + (G119 * IFERROR(VLOOKUP(H119,PostWorkoutTable[],4,FALSE),0)) + (G120 * IFERROR(VLOOKUP(H120,PostWorkoutTable[],4,FALSE),0)) + (G121 * IFERROR(VLOOKUP(H121,PostWorkoutTable[],4,FALSE),0))</f>
        <v>0</v>
      </c>
    </row>
    <row r="119" spans="1:16" x14ac:dyDescent="0.25">
      <c r="A119" s="17"/>
      <c r="B119" s="17"/>
      <c r="C119" s="17"/>
      <c r="D119" s="17"/>
      <c r="E119" s="17"/>
      <c r="F119" s="17"/>
      <c r="G119" s="17"/>
      <c r="H119" s="17"/>
      <c r="I119" s="2">
        <v>6</v>
      </c>
      <c r="J119" s="2">
        <v>12</v>
      </c>
      <c r="K119" s="2">
        <v>36</v>
      </c>
      <c r="L119" s="25"/>
      <c r="M119" s="29" t="s">
        <v>21</v>
      </c>
      <c r="N119" s="29">
        <f xml:space="preserve"> SUM(I118:I121)</f>
        <v>98</v>
      </c>
      <c r="O119" s="29">
        <f>SUM(J118:J121)</f>
        <v>77.599999999999994</v>
      </c>
      <c r="P119" s="29">
        <f>SUM(K118:K121)</f>
        <v>216.9</v>
      </c>
    </row>
    <row r="120" spans="1:16" x14ac:dyDescent="0.25">
      <c r="A120" s="17"/>
      <c r="B120" s="17"/>
      <c r="C120" s="17"/>
      <c r="D120" s="17"/>
      <c r="E120" s="17"/>
      <c r="F120" s="17"/>
      <c r="G120" s="17"/>
      <c r="H120" s="17"/>
      <c r="I120" s="2">
        <v>57</v>
      </c>
      <c r="J120" s="2">
        <v>36</v>
      </c>
      <c r="K120" s="2">
        <v>129</v>
      </c>
      <c r="L120" s="25"/>
      <c r="M120" s="29" t="s">
        <v>38</v>
      </c>
      <c r="N120" s="29">
        <f>SUM(N115:N119)</f>
        <v>118</v>
      </c>
      <c r="O120" s="29">
        <f>SUM(O115:O119)</f>
        <v>86.6</v>
      </c>
      <c r="P120" s="29">
        <f>SUM(P115:P119)</f>
        <v>246.9</v>
      </c>
    </row>
    <row r="121" spans="1:16" x14ac:dyDescent="0.25">
      <c r="A121" s="17"/>
      <c r="B121" s="17"/>
      <c r="C121" s="17"/>
      <c r="D121" s="17"/>
      <c r="E121" s="17"/>
      <c r="F121" s="17"/>
      <c r="G121" s="17"/>
      <c r="H121" s="17"/>
      <c r="I121" s="2">
        <v>10</v>
      </c>
      <c r="J121" s="2">
        <v>4.5999999999999996</v>
      </c>
      <c r="K121" s="2">
        <v>48</v>
      </c>
      <c r="L121" s="25"/>
      <c r="M121" s="25"/>
      <c r="N121" s="25"/>
      <c r="O121" s="25"/>
      <c r="P121" s="25"/>
    </row>
    <row r="122" spans="1:16" x14ac:dyDescent="0.25">
      <c r="A122" s="25"/>
      <c r="B122" s="25"/>
      <c r="C122" s="25"/>
      <c r="D122" s="25"/>
      <c r="E122" s="25"/>
      <c r="F122" s="25"/>
      <c r="G122" s="25"/>
      <c r="H122" s="25"/>
      <c r="I122" s="25"/>
      <c r="J122" s="25"/>
      <c r="K122" s="25"/>
      <c r="L122" s="25"/>
      <c r="M122" s="25"/>
      <c r="N122" s="25"/>
      <c r="O122" s="25"/>
      <c r="P122" s="25"/>
    </row>
    <row r="123" spans="1:16" ht="23.25" x14ac:dyDescent="0.35">
      <c r="A123" s="26">
        <v>43491</v>
      </c>
      <c r="B123" s="25"/>
      <c r="C123" s="25"/>
      <c r="D123" s="25"/>
      <c r="E123" s="25"/>
      <c r="F123" s="25"/>
      <c r="G123" s="25"/>
      <c r="H123" s="25"/>
      <c r="I123" s="25"/>
      <c r="J123" s="25"/>
      <c r="K123" s="25"/>
      <c r="L123" s="25"/>
      <c r="M123" s="25"/>
      <c r="N123" s="25"/>
      <c r="O123" s="25"/>
      <c r="P123" s="25"/>
    </row>
    <row r="124" spans="1:16" ht="18" thickBot="1" x14ac:dyDescent="0.35">
      <c r="A124" s="3" t="s">
        <v>48</v>
      </c>
      <c r="B124" s="3" t="s">
        <v>0</v>
      </c>
      <c r="C124" s="3" t="s">
        <v>36</v>
      </c>
      <c r="D124" s="3" t="s">
        <v>8</v>
      </c>
      <c r="E124" s="5" t="s">
        <v>9</v>
      </c>
      <c r="F124" s="5" t="s">
        <v>10</v>
      </c>
      <c r="G124" s="27"/>
      <c r="H124" s="28"/>
      <c r="I124" s="25"/>
      <c r="J124" s="25"/>
      <c r="K124" s="25"/>
      <c r="L124" s="25"/>
      <c r="M124" s="27"/>
      <c r="N124" s="29" t="s">
        <v>8</v>
      </c>
      <c r="O124" s="29" t="s">
        <v>9</v>
      </c>
      <c r="P124" s="29" t="s">
        <v>10</v>
      </c>
    </row>
    <row r="125" spans="1:16" ht="15.75" thickTop="1" x14ac:dyDescent="0.25">
      <c r="A125" s="18">
        <v>43486</v>
      </c>
      <c r="B125" s="16">
        <f>IFERROR(VLOOKUP(A125,OverviewTable[],2,FALSE),"?")</f>
        <v>123.6</v>
      </c>
      <c r="C125" s="16" t="str">
        <f>((N130 * 4) + (O130 * 9) + (P130 * 4))&amp;"/"&amp;IFERROR(VLOOKUP(A125,OverviewTable[],11,FALSE),"?")</f>
        <v>2766.7/2227.6</v>
      </c>
      <c r="D125" s="16" t="str">
        <f>N130&amp;"/"&amp;IFERROR(VLOOKUP(A125,OverviewTable[],12,FALSE),"?")</f>
        <v>154.4/124</v>
      </c>
      <c r="E125" s="16" t="str">
        <f>O130&amp;"/"&amp;IFERROR(VLOOKUP(A125,OverviewTable[],13,FALSE),"?")</f>
        <v>105.9/62</v>
      </c>
      <c r="F125" s="16" t="str">
        <f>P130&amp;"/"&amp;IFERROR(VLOOKUP(A125,OverviewTable[],14,FALSE),"?")</f>
        <v>299/293</v>
      </c>
      <c r="G125" s="28"/>
      <c r="H125" s="28"/>
      <c r="I125" s="25"/>
      <c r="J125" s="25"/>
      <c r="K125" s="25"/>
      <c r="L125" s="25"/>
      <c r="M125" s="29" t="s">
        <v>6</v>
      </c>
      <c r="N125" s="29">
        <f>(A128 * IFERROR(VLOOKUP(B128,BreakfastTable[],2,FALSE),0)) + (A129 * IFERROR(VLOOKUP(B129,BreakfastTable[],2,FALSE),0)) + (A130 * IFERROR(VLOOKUP(B130,BreakfastTable[],2,FALSE),0)) + (A131 * IFERROR(VLOOKUP(B131,BreakfastTable[],2,FALSE),0))</f>
        <v>0</v>
      </c>
      <c r="O125" s="29">
        <f>(A128 * IFERROR(VLOOKUP(B128,BreakfastTable[],3,FALSE),0)) + (A129 * IFERROR(VLOOKUP(B129,BreakfastTable[],3,FALSE),0)) + (A130 * IFERROR(VLOOKUP(B130,BreakfastTable[],3,FALSE),0)) + (A131 * IFERROR(VLOOKUP(B131,BreakfastTable[],3,FALSE),0))</f>
        <v>0</v>
      </c>
      <c r="P125" s="29">
        <f>(A128 * IFERROR(VLOOKUP(B128,BreakfastTable[],4,FALSE),0)) + (A129 * IFERROR(VLOOKUP(B129,BreakfastTable[],4,FALSE),0)) + (A130 * IFERROR(VLOOKUP(B130,BreakfastTable[],4,FALSE),0)) + (A131 * IFERROR(VLOOKUP(B131,BreakfastTable[],4,FALSE),0))</f>
        <v>0</v>
      </c>
    </row>
    <row r="126" spans="1:16" x14ac:dyDescent="0.25">
      <c r="A126" s="17"/>
      <c r="B126" s="17"/>
      <c r="C126" s="17"/>
      <c r="D126" s="17"/>
      <c r="E126" s="17"/>
      <c r="F126" s="17"/>
      <c r="G126" s="28"/>
      <c r="H126" s="28"/>
      <c r="I126" s="25"/>
      <c r="J126" s="25"/>
      <c r="K126" s="25"/>
      <c r="L126" s="25"/>
      <c r="M126" s="29" t="s">
        <v>11</v>
      </c>
      <c r="N126" s="29">
        <f>(C128 * IFERROR(VLOOKUP(D128,LunchTable[],2,FALSE),0)) + (C129 * IFERROR(VLOOKUP(D129,LunchTable[],2,FALSE),0)) + (C130 * IFERROR(VLOOKUP(D130,LunchTable[],2,FALSE),0)) + (C131 * IFERROR(VLOOKUP(D131,LunchTable[],2,FALSE),0))</f>
        <v>0</v>
      </c>
      <c r="O126" s="29">
        <f>(C128 * IFERROR(VLOOKUP(D128,LunchTable[],3,FALSE),0)) + (C129 * IFERROR(VLOOKUP(D129,LunchTable[],3,FALSE),0)) + (C130 * IFERROR(VLOOKUP(D130,LunchTable[],3,FALSE),0)) + (C131 * IFERROR(VLOOKUP(D131,LunchTable[],3,FALSE),0))</f>
        <v>0</v>
      </c>
      <c r="P126" s="29">
        <f>(C128 * IFERROR(VLOOKUP(D128,LunchTable[],4,FALSE),0)) + (C129 * IFERROR(VLOOKUP(D129,LunchTable[],4,FALSE),0)) + (C130 * IFERROR(VLOOKUP(D130,LunchTable[],4,FALSE),0)) + (C131 * IFERROR(VLOOKUP(D131,LunchTable[],4,FALSE),0))</f>
        <v>0</v>
      </c>
    </row>
    <row r="127" spans="1:16" ht="18" thickBot="1" x14ac:dyDescent="0.35">
      <c r="A127" s="10" t="s">
        <v>34</v>
      </c>
      <c r="B127" s="11" t="s">
        <v>6</v>
      </c>
      <c r="C127" s="10" t="s">
        <v>34</v>
      </c>
      <c r="D127" s="11" t="s">
        <v>11</v>
      </c>
      <c r="E127" s="10" t="s">
        <v>34</v>
      </c>
      <c r="F127" s="11" t="s">
        <v>12</v>
      </c>
      <c r="G127" s="10" t="s">
        <v>34</v>
      </c>
      <c r="H127" s="12" t="s">
        <v>35</v>
      </c>
      <c r="I127" s="5" t="s">
        <v>41</v>
      </c>
      <c r="J127" s="5" t="s">
        <v>42</v>
      </c>
      <c r="K127" s="5" t="s">
        <v>43</v>
      </c>
      <c r="L127" s="25"/>
      <c r="M127" s="29" t="s">
        <v>12</v>
      </c>
      <c r="N127" s="29">
        <f>(E128 * IFERROR(VLOOKUP(F128,DinnerTable[],2,FALSE),0)) + (E129 * IFERROR(VLOOKUP(F129,DinnerTable[],2,FALSE),0)) + (E130 * IFERROR(VLOOKUP(F130,DinnerTable[],2,FALSE),0)) + (E131 * IFERROR(VLOOKUP(F131,DinnerTable[],2,FALSE),0))</f>
        <v>26</v>
      </c>
      <c r="O127" s="29">
        <f>(E128 * IFERROR(VLOOKUP(F128,DinnerTable[],3,FALSE),0)) + (E129 * IFERROR(VLOOKUP(F129,DinnerTable[],3,FALSE),0)) + (E130 * IFERROR(VLOOKUP(F130,DinnerTable[],3,FALSE),0)) + (E131 * IFERROR(VLOOKUP(F131,DinnerTable[],3,FALSE),0))</f>
        <v>35</v>
      </c>
      <c r="P127" s="29">
        <f>(E128 * IFERROR(VLOOKUP(F128,DinnerTable[],4,FALSE),0)) + (E129 * IFERROR(VLOOKUP(F129,DinnerTable[],4,FALSE),0)) + (E130 * IFERROR(VLOOKUP(F130,DinnerTable[],4,FALSE),0)) + (E131 * IFERROR(VLOOKUP(F131,DinnerTable[],4,FALSE),0))</f>
        <v>108</v>
      </c>
    </row>
    <row r="128" spans="1:16" ht="15.75" thickTop="1" x14ac:dyDescent="0.25">
      <c r="A128" s="17"/>
      <c r="B128" s="17"/>
      <c r="C128" s="17"/>
      <c r="D128" s="17"/>
      <c r="E128" s="17">
        <v>4</v>
      </c>
      <c r="F128" s="17" t="s">
        <v>57</v>
      </c>
      <c r="G128" s="17">
        <v>1</v>
      </c>
      <c r="H128" s="17" t="s">
        <v>96</v>
      </c>
      <c r="I128" s="2">
        <v>38</v>
      </c>
      <c r="J128" s="2">
        <v>24</v>
      </c>
      <c r="K128" s="2">
        <v>86</v>
      </c>
      <c r="L128" s="25"/>
      <c r="M128" s="29" t="s">
        <v>35</v>
      </c>
      <c r="N128" s="29">
        <f>(G128 * IFERROR(VLOOKUP(H128,PostWorkoutTable[],2,FALSE),0)) + (G129 * IFERROR(VLOOKUP(H129,PostWorkoutTable[],2,FALSE),0)) + (G130 * IFERROR(VLOOKUP(H130,PostWorkoutTable[],2,FALSE),0)) + (G131 * IFERROR(VLOOKUP(H131,PostWorkoutTable[],2,FALSE),0))</f>
        <v>32.200000000000003</v>
      </c>
      <c r="O128" s="29">
        <f>(G128 * IFERROR(VLOOKUP(H128,PostWorkoutTable[],3,FALSE),0)) + (G129 * IFERROR(VLOOKUP(H129,PostWorkoutTable[],3,FALSE),0)) + (G130 * IFERROR(VLOOKUP(H130,PostWorkoutTable[],3,FALSE),0)) + (G131 * IFERROR(VLOOKUP(H131,PostWorkoutTable[],3,FALSE),0))</f>
        <v>14.9</v>
      </c>
      <c r="P128" s="29">
        <f>(G128 * IFERROR(VLOOKUP(H128,PostWorkoutTable[],4,FALSE),0)) + (G129 * IFERROR(VLOOKUP(H129,PostWorkoutTable[],4,FALSE),0)) + (G130 * IFERROR(VLOOKUP(H130,PostWorkoutTable[],4,FALSE),0)) + (G131 * IFERROR(VLOOKUP(H131,PostWorkoutTable[],4,FALSE),0))</f>
        <v>50.4</v>
      </c>
    </row>
    <row r="129" spans="1:16" x14ac:dyDescent="0.25">
      <c r="A129" s="17"/>
      <c r="B129" s="17"/>
      <c r="C129" s="17"/>
      <c r="D129" s="17"/>
      <c r="E129" s="17">
        <v>2</v>
      </c>
      <c r="F129" s="17" t="s">
        <v>93</v>
      </c>
      <c r="G129" s="17"/>
      <c r="H129" s="17"/>
      <c r="I129" s="2">
        <v>10</v>
      </c>
      <c r="J129" s="2">
        <v>4.5999999999999996</v>
      </c>
      <c r="K129" s="2">
        <v>48</v>
      </c>
      <c r="L129" s="25"/>
      <c r="M129" s="29" t="s">
        <v>21</v>
      </c>
      <c r="N129" s="29">
        <f xml:space="preserve"> SUM(I128:I131)</f>
        <v>96.2</v>
      </c>
      <c r="O129" s="29">
        <f>SUM(J128:J131)</f>
        <v>56</v>
      </c>
      <c r="P129" s="29">
        <f>SUM(K128:K131)</f>
        <v>140.6</v>
      </c>
    </row>
    <row r="130" spans="1:16" x14ac:dyDescent="0.25">
      <c r="A130" s="17"/>
      <c r="B130" s="17"/>
      <c r="C130" s="17"/>
      <c r="D130" s="17"/>
      <c r="E130" s="17">
        <v>2</v>
      </c>
      <c r="F130" s="17" t="s">
        <v>94</v>
      </c>
      <c r="G130" s="17"/>
      <c r="H130" s="17"/>
      <c r="I130" s="2">
        <v>48.2</v>
      </c>
      <c r="J130" s="2">
        <v>27.4</v>
      </c>
      <c r="K130" s="2">
        <v>6.6</v>
      </c>
      <c r="L130" s="25"/>
      <c r="M130" s="29" t="s">
        <v>38</v>
      </c>
      <c r="N130" s="29">
        <f>SUM(N125:N129)</f>
        <v>154.4</v>
      </c>
      <c r="O130" s="29">
        <f>SUM(O125:O129)</f>
        <v>105.9</v>
      </c>
      <c r="P130" s="29">
        <f>SUM(P125:P129)</f>
        <v>299</v>
      </c>
    </row>
    <row r="131" spans="1:16" x14ac:dyDescent="0.25">
      <c r="A131" s="17"/>
      <c r="B131" s="17"/>
      <c r="C131" s="17"/>
      <c r="D131" s="17"/>
      <c r="E131" s="17"/>
      <c r="F131" s="17"/>
      <c r="G131" s="17"/>
      <c r="H131" s="17"/>
      <c r="I131" s="2"/>
      <c r="J131" s="2"/>
      <c r="K131" s="2"/>
      <c r="L131" s="25"/>
      <c r="M131" s="25"/>
      <c r="N131" s="25"/>
      <c r="O131" s="25"/>
      <c r="P131" s="25"/>
    </row>
    <row r="132" spans="1:16" x14ac:dyDescent="0.25">
      <c r="A132" s="25"/>
      <c r="B132" s="25"/>
      <c r="C132" s="25"/>
      <c r="D132" s="25"/>
      <c r="E132" s="25"/>
      <c r="F132" s="25"/>
      <c r="G132" s="25"/>
      <c r="H132" s="25"/>
      <c r="I132" s="25"/>
      <c r="J132" s="25"/>
      <c r="K132" s="25"/>
      <c r="L132" s="25"/>
      <c r="M132" s="25"/>
      <c r="N132" s="25"/>
      <c r="O132" s="25"/>
      <c r="P132" s="25"/>
    </row>
    <row r="133" spans="1:16" ht="23.25" x14ac:dyDescent="0.35">
      <c r="A133" s="26">
        <v>43492</v>
      </c>
      <c r="B133" s="25"/>
      <c r="C133" s="25"/>
      <c r="D133" s="25"/>
      <c r="E133" s="25"/>
      <c r="F133" s="25"/>
      <c r="G133" s="25"/>
      <c r="H133" s="25"/>
      <c r="I133" s="25"/>
      <c r="J133" s="25"/>
      <c r="K133" s="25"/>
      <c r="L133" s="25"/>
      <c r="M133" s="25"/>
      <c r="N133" s="25"/>
      <c r="O133" s="25"/>
      <c r="P133" s="25"/>
    </row>
    <row r="134" spans="1:16" ht="18" thickBot="1" x14ac:dyDescent="0.35">
      <c r="A134" s="3" t="s">
        <v>48</v>
      </c>
      <c r="B134" s="3" t="s">
        <v>0</v>
      </c>
      <c r="C134" s="3" t="s">
        <v>36</v>
      </c>
      <c r="D134" s="3" t="s">
        <v>8</v>
      </c>
      <c r="E134" s="5" t="s">
        <v>9</v>
      </c>
      <c r="F134" s="5" t="s">
        <v>10</v>
      </c>
      <c r="G134" s="27"/>
      <c r="H134" s="28"/>
      <c r="I134" s="25"/>
      <c r="J134" s="25"/>
      <c r="K134" s="25"/>
      <c r="L134" s="25"/>
      <c r="M134" s="27"/>
      <c r="N134" s="29" t="s">
        <v>8</v>
      </c>
      <c r="O134" s="29" t="s">
        <v>9</v>
      </c>
      <c r="P134" s="29" t="s">
        <v>10</v>
      </c>
    </row>
    <row r="135" spans="1:16" ht="15.75" thickTop="1" x14ac:dyDescent="0.25">
      <c r="A135" s="18">
        <v>43486</v>
      </c>
      <c r="B135" s="16">
        <f>IFERROR(VLOOKUP(A135,OverviewTable[],2,FALSE),"?")</f>
        <v>123.6</v>
      </c>
      <c r="C135" s="16" t="str">
        <f>((N140 * 4) + (O140 * 9) + (P140 * 4))&amp;"/"&amp;IFERROR(VLOOKUP(A135,OverviewTable[],11,FALSE),"?")</f>
        <v>2831.25/2227.6</v>
      </c>
      <c r="D135" s="16" t="str">
        <f>N140&amp;"/"&amp;IFERROR(VLOOKUP(A135,OverviewTable[],12,FALSE),"?")</f>
        <v>153/124</v>
      </c>
      <c r="E135" s="16" t="str">
        <f>O140&amp;"/"&amp;IFERROR(VLOOKUP(A135,OverviewTable[],13,FALSE),"?")</f>
        <v>123.25/62</v>
      </c>
      <c r="F135" s="16" t="str">
        <f>P140&amp;"/"&amp;IFERROR(VLOOKUP(A135,OverviewTable[],14,FALSE),"?")</f>
        <v>277.5/293</v>
      </c>
      <c r="G135" s="28"/>
      <c r="H135" s="28"/>
      <c r="I135" s="25"/>
      <c r="J135" s="25"/>
      <c r="K135" s="25"/>
      <c r="L135" s="25"/>
      <c r="M135" s="29" t="s">
        <v>6</v>
      </c>
      <c r="N135" s="29">
        <f>(A138 * IFERROR(VLOOKUP(B138,BreakfastTable[],2,FALSE),0)) + (A139 * IFERROR(VLOOKUP(B139,BreakfastTable[],2,FALSE),0)) + (A140 * IFERROR(VLOOKUP(B140,BreakfastTable[],2,FALSE),0)) + (A141 * IFERROR(VLOOKUP(B141,BreakfastTable[],2,FALSE),0))</f>
        <v>20</v>
      </c>
      <c r="O135" s="29">
        <f>(A138 * IFERROR(VLOOKUP(B138,BreakfastTable[],3,FALSE),0)) + (A139 * IFERROR(VLOOKUP(B139,BreakfastTable[],3,FALSE),0)) + (A140 * IFERROR(VLOOKUP(B140,BreakfastTable[],3,FALSE),0)) + (A141 * IFERROR(VLOOKUP(B141,BreakfastTable[],3,FALSE),0))</f>
        <v>9</v>
      </c>
      <c r="P135" s="29">
        <f>(A138 * IFERROR(VLOOKUP(B138,BreakfastTable[],4,FALSE),0)) + (A139 * IFERROR(VLOOKUP(B139,BreakfastTable[],4,FALSE),0)) + (A140 * IFERROR(VLOOKUP(B140,BreakfastTable[],4,FALSE),0)) + (A141 * IFERROR(VLOOKUP(B141,BreakfastTable[],4,FALSE),0))</f>
        <v>30</v>
      </c>
    </row>
    <row r="136" spans="1:16" x14ac:dyDescent="0.25">
      <c r="A136" s="17"/>
      <c r="B136" s="17"/>
      <c r="C136" s="17"/>
      <c r="D136" s="17"/>
      <c r="E136" s="17"/>
      <c r="F136" s="17"/>
      <c r="G136" s="28"/>
      <c r="H136" s="28"/>
      <c r="I136" s="25"/>
      <c r="J136" s="25"/>
      <c r="K136" s="25"/>
      <c r="L136" s="25"/>
      <c r="M136" s="29" t="s">
        <v>11</v>
      </c>
      <c r="N136" s="29">
        <f>(C138 * IFERROR(VLOOKUP(D138,LunchTable[],2,FALSE),0)) + (C139 * IFERROR(VLOOKUP(D139,LunchTable[],2,FALSE),0)) + (C140 * IFERROR(VLOOKUP(D140,LunchTable[],2,FALSE),0)) + (C141 * IFERROR(VLOOKUP(D141,LunchTable[],2,FALSE),0))</f>
        <v>0</v>
      </c>
      <c r="O136" s="29">
        <f>(C138 * IFERROR(VLOOKUP(D138,LunchTable[],3,FALSE),0)) + (C139 * IFERROR(VLOOKUP(D139,LunchTable[],3,FALSE),0)) + (C140 * IFERROR(VLOOKUP(D140,LunchTable[],3,FALSE),0)) + (C141 * IFERROR(VLOOKUP(D141,LunchTable[],3,FALSE),0))</f>
        <v>0</v>
      </c>
      <c r="P136" s="29">
        <f>(C138 * IFERROR(VLOOKUP(D138,LunchTable[],4,FALSE),0)) + (C139 * IFERROR(VLOOKUP(D139,LunchTable[],4,FALSE),0)) + (C140 * IFERROR(VLOOKUP(D140,LunchTable[],4,FALSE),0)) + (C141 * IFERROR(VLOOKUP(D141,LunchTable[],4,FALSE),0))</f>
        <v>0</v>
      </c>
    </row>
    <row r="137" spans="1:16" ht="18" thickBot="1" x14ac:dyDescent="0.35">
      <c r="A137" s="10" t="s">
        <v>34</v>
      </c>
      <c r="B137" s="11" t="s">
        <v>6</v>
      </c>
      <c r="C137" s="10" t="s">
        <v>34</v>
      </c>
      <c r="D137" s="11" t="s">
        <v>11</v>
      </c>
      <c r="E137" s="10" t="s">
        <v>34</v>
      </c>
      <c r="F137" s="11" t="s">
        <v>12</v>
      </c>
      <c r="G137" s="10" t="s">
        <v>34</v>
      </c>
      <c r="H137" s="12" t="s">
        <v>35</v>
      </c>
      <c r="I137" s="5" t="s">
        <v>41</v>
      </c>
      <c r="J137" s="5" t="s">
        <v>42</v>
      </c>
      <c r="K137" s="5" t="s">
        <v>43</v>
      </c>
      <c r="L137" s="25"/>
      <c r="M137" s="29" t="s">
        <v>12</v>
      </c>
      <c r="N137" s="29">
        <f>(E138 * IFERROR(VLOOKUP(F138,DinnerTable[],2,FALSE),0)) + (E139 * IFERROR(VLOOKUP(F139,DinnerTable[],2,FALSE),0)) + (E140 * IFERROR(VLOOKUP(F140,DinnerTable[],2,FALSE),0)) + (E141 * IFERROR(VLOOKUP(F141,DinnerTable[],2,FALSE),0))</f>
        <v>67</v>
      </c>
      <c r="O137" s="29">
        <f>(E138 * IFERROR(VLOOKUP(F138,DinnerTable[],3,FALSE),0)) + (E139 * IFERROR(VLOOKUP(F139,DinnerTable[],3,FALSE),0)) + (E140 * IFERROR(VLOOKUP(F140,DinnerTable[],3,FALSE),0)) + (E141 * IFERROR(VLOOKUP(F141,DinnerTable[],3,FALSE),0))</f>
        <v>60.25</v>
      </c>
      <c r="P137" s="29">
        <f>(E138 * IFERROR(VLOOKUP(F138,DinnerTable[],4,FALSE),0)) + (E139 * IFERROR(VLOOKUP(F139,DinnerTable[],4,FALSE),0)) + (E140 * IFERROR(VLOOKUP(F140,DinnerTable[],4,FALSE),0)) + (E141 * IFERROR(VLOOKUP(F141,DinnerTable[],4,FALSE),0))</f>
        <v>148.5</v>
      </c>
    </row>
    <row r="138" spans="1:16" ht="15.75" thickTop="1" x14ac:dyDescent="0.25">
      <c r="A138" s="17">
        <v>1</v>
      </c>
      <c r="B138" s="17" t="s">
        <v>26</v>
      </c>
      <c r="C138" s="17"/>
      <c r="D138" s="17"/>
      <c r="E138" s="17">
        <v>0.25</v>
      </c>
      <c r="F138" s="17" t="s">
        <v>44</v>
      </c>
      <c r="G138" s="17"/>
      <c r="H138" s="17"/>
      <c r="I138" s="2">
        <v>66</v>
      </c>
      <c r="J138" s="2">
        <v>54</v>
      </c>
      <c r="K138" s="2">
        <v>99</v>
      </c>
      <c r="L138" s="25"/>
      <c r="M138" s="29" t="s">
        <v>35</v>
      </c>
      <c r="N138" s="29">
        <f>(G138 * IFERROR(VLOOKUP(H138,PostWorkoutTable[],2,FALSE),0)) + (G139 * IFERROR(VLOOKUP(H139,PostWorkoutTable[],2,FALSE),0)) + (G140 * IFERROR(VLOOKUP(H140,PostWorkoutTable[],2,FALSE),0)) + (G141 * IFERROR(VLOOKUP(H141,PostWorkoutTable[],2,FALSE),0))</f>
        <v>0</v>
      </c>
      <c r="O138" s="29">
        <f>(G138 * IFERROR(VLOOKUP(H138,PostWorkoutTable[],3,FALSE),0)) + (G139 * IFERROR(VLOOKUP(H139,PostWorkoutTable[],3,FALSE),0)) + (G140 * IFERROR(VLOOKUP(H140,PostWorkoutTable[],3,FALSE),0)) + (G141 * IFERROR(VLOOKUP(H141,PostWorkoutTable[],3,FALSE),0))</f>
        <v>0</v>
      </c>
      <c r="P138" s="29">
        <f>(G138 * IFERROR(VLOOKUP(H138,PostWorkoutTable[],4,FALSE),0)) + (G139 * IFERROR(VLOOKUP(H139,PostWorkoutTable[],4,FALSE),0)) + (G140 * IFERROR(VLOOKUP(H140,PostWorkoutTable[],4,FALSE),0)) + (G141 * IFERROR(VLOOKUP(H141,PostWorkoutTable[],4,FALSE),0))</f>
        <v>0</v>
      </c>
    </row>
    <row r="139" spans="1:16" x14ac:dyDescent="0.25">
      <c r="A139" s="17"/>
      <c r="B139" s="17"/>
      <c r="C139" s="17"/>
      <c r="D139" s="17"/>
      <c r="E139" s="17">
        <v>0.5</v>
      </c>
      <c r="F139" s="17" t="s">
        <v>56</v>
      </c>
      <c r="G139" s="17"/>
      <c r="H139" s="17"/>
      <c r="I139" s="2"/>
      <c r="J139" s="2"/>
      <c r="K139" s="2"/>
      <c r="L139" s="25"/>
      <c r="M139" s="29" t="s">
        <v>21</v>
      </c>
      <c r="N139" s="29">
        <f xml:space="preserve"> SUM(I138:I141)</f>
        <v>66</v>
      </c>
      <c r="O139" s="29">
        <f>SUM(J138:J141)</f>
        <v>54</v>
      </c>
      <c r="P139" s="29">
        <f>SUM(K138:K141)</f>
        <v>99</v>
      </c>
    </row>
    <row r="140" spans="1:16" x14ac:dyDescent="0.25">
      <c r="A140" s="17"/>
      <c r="B140" s="17"/>
      <c r="C140" s="17"/>
      <c r="D140" s="17"/>
      <c r="E140" s="17">
        <v>0.5</v>
      </c>
      <c r="F140" s="17" t="s">
        <v>45</v>
      </c>
      <c r="G140" s="17"/>
      <c r="H140" s="17"/>
      <c r="I140" s="2"/>
      <c r="J140" s="2"/>
      <c r="K140" s="2"/>
      <c r="L140" s="25"/>
      <c r="M140" s="29" t="s">
        <v>38</v>
      </c>
      <c r="N140" s="29">
        <f>SUM(N135:N139)</f>
        <v>153</v>
      </c>
      <c r="O140" s="29">
        <f>SUM(O135:O139)</f>
        <v>123.25</v>
      </c>
      <c r="P140" s="29">
        <f>SUM(P135:P139)</f>
        <v>277.5</v>
      </c>
    </row>
    <row r="141" spans="1:16" x14ac:dyDescent="0.25">
      <c r="A141" s="17"/>
      <c r="B141" s="17"/>
      <c r="C141" s="17"/>
      <c r="D141" s="17"/>
      <c r="E141" s="17">
        <v>2</v>
      </c>
      <c r="F141" s="17" t="s">
        <v>68</v>
      </c>
      <c r="G141" s="17"/>
      <c r="H141" s="17"/>
      <c r="I141" s="2"/>
      <c r="J141" s="2"/>
      <c r="K141" s="2"/>
      <c r="L141" s="25"/>
      <c r="M141" s="25"/>
      <c r="N141" s="25"/>
      <c r="O141" s="25"/>
      <c r="P141" s="25"/>
    </row>
    <row r="142" spans="1:16" x14ac:dyDescent="0.25">
      <c r="A142" s="25"/>
      <c r="B142" s="25"/>
      <c r="C142" s="25"/>
      <c r="D142" s="25"/>
      <c r="E142" s="25"/>
      <c r="F142" s="25"/>
      <c r="G142" s="25"/>
      <c r="H142" s="25"/>
      <c r="I142" s="25"/>
      <c r="J142" s="25"/>
      <c r="K142" s="25"/>
      <c r="L142" s="25"/>
      <c r="M142" s="25"/>
      <c r="N142" s="25"/>
      <c r="O142" s="25"/>
      <c r="P142" s="25"/>
    </row>
    <row r="143" spans="1:16" ht="23.25" x14ac:dyDescent="0.35">
      <c r="A143" s="26">
        <v>43493</v>
      </c>
      <c r="B143" s="25"/>
      <c r="C143" s="25"/>
      <c r="D143" s="25"/>
      <c r="E143" s="25"/>
      <c r="F143" s="25"/>
      <c r="G143" s="25"/>
      <c r="H143" s="25"/>
      <c r="I143" s="25"/>
      <c r="J143" s="25"/>
      <c r="K143" s="25"/>
      <c r="L143" s="25"/>
      <c r="M143" s="25"/>
      <c r="N143" s="25"/>
      <c r="O143" s="25"/>
      <c r="P143" s="25"/>
    </row>
    <row r="144" spans="1:16" ht="18" thickBot="1" x14ac:dyDescent="0.35">
      <c r="A144" s="3" t="s">
        <v>48</v>
      </c>
      <c r="B144" s="3" t="s">
        <v>0</v>
      </c>
      <c r="C144" s="3" t="s">
        <v>36</v>
      </c>
      <c r="D144" s="3" t="s">
        <v>8</v>
      </c>
      <c r="E144" s="5" t="s">
        <v>9</v>
      </c>
      <c r="F144" s="5" t="s">
        <v>10</v>
      </c>
      <c r="G144" s="27"/>
      <c r="H144" s="28"/>
      <c r="I144" s="25"/>
      <c r="J144" s="25"/>
      <c r="K144" s="25"/>
      <c r="L144" s="25"/>
      <c r="M144" s="27"/>
      <c r="N144" s="29" t="s">
        <v>8</v>
      </c>
      <c r="O144" s="29" t="s">
        <v>9</v>
      </c>
      <c r="P144" s="29" t="s">
        <v>10</v>
      </c>
    </row>
    <row r="145" spans="1:16" ht="15.75" thickTop="1" x14ac:dyDescent="0.25">
      <c r="A145" s="18">
        <v>43493</v>
      </c>
      <c r="B145" s="16">
        <f>IFERROR(VLOOKUP(A145,OverviewTable[],2,FALSE),"?")</f>
        <v>126.2</v>
      </c>
      <c r="C145" s="16" t="str">
        <f>((N150 * 4) + (O150 * 9) + (P150 * 4))&amp;"/"&amp;IFERROR(VLOOKUP(A145,OverviewTable[],11,FALSE),"?")</f>
        <v>1931.2/2269.2</v>
      </c>
      <c r="D145" s="16" t="str">
        <f>N150&amp;"/"&amp;IFERROR(VLOOKUP(A145,OverviewTable[],12,FALSE),"?")</f>
        <v>116.5/126</v>
      </c>
      <c r="E145" s="16" t="str">
        <f>O150&amp;"/"&amp;IFERROR(VLOOKUP(A145,OverviewTable[],13,FALSE),"?")</f>
        <v>62/63</v>
      </c>
      <c r="F145" s="16" t="str">
        <f>P150&amp;"/"&amp;IFERROR(VLOOKUP(A145,OverviewTable[],14,FALSE),"?")</f>
        <v>226.8/300</v>
      </c>
      <c r="G145" s="28"/>
      <c r="H145" s="28"/>
      <c r="I145" s="25"/>
      <c r="J145" s="25"/>
      <c r="K145" s="25"/>
      <c r="L145" s="25"/>
      <c r="M145" s="29" t="s">
        <v>6</v>
      </c>
      <c r="N145" s="29">
        <f>(A148 * IFERROR(VLOOKUP(B148,BreakfastTable[],2,FALSE),0)) + (A149 * IFERROR(VLOOKUP(B149,BreakfastTable[],2,FALSE),0)) + (A150 * IFERROR(VLOOKUP(B150,BreakfastTable[],2,FALSE),0)) + (A151 * IFERROR(VLOOKUP(B151,BreakfastTable[],2,FALSE),0))</f>
        <v>21.6</v>
      </c>
      <c r="O145" s="29">
        <f>(A148 * IFERROR(VLOOKUP(B148,BreakfastTable[],3,FALSE),0)) + (A149 * IFERROR(VLOOKUP(B149,BreakfastTable[],3,FALSE),0)) + (A150 * IFERROR(VLOOKUP(B150,BreakfastTable[],3,FALSE),0)) + (A151 * IFERROR(VLOOKUP(B151,BreakfastTable[],3,FALSE),0))</f>
        <v>9.5</v>
      </c>
      <c r="P145" s="29">
        <f>(A148 * IFERROR(VLOOKUP(B148,BreakfastTable[],4,FALSE),0)) + (A149 * IFERROR(VLOOKUP(B149,BreakfastTable[],4,FALSE),0)) + (A150 * IFERROR(VLOOKUP(B150,BreakfastTable[],4,FALSE),0)) + (A151 * IFERROR(VLOOKUP(B151,BreakfastTable[],4,FALSE),0))</f>
        <v>64.3</v>
      </c>
    </row>
    <row r="146" spans="1:16" x14ac:dyDescent="0.25">
      <c r="A146" s="17"/>
      <c r="B146" s="17"/>
      <c r="C146" s="17"/>
      <c r="D146" s="17"/>
      <c r="E146" s="17"/>
      <c r="F146" s="17"/>
      <c r="G146" s="28"/>
      <c r="H146" s="28"/>
      <c r="I146" s="25"/>
      <c r="J146" s="25"/>
      <c r="K146" s="25"/>
      <c r="L146" s="25"/>
      <c r="M146" s="29" t="s">
        <v>11</v>
      </c>
      <c r="N146" s="29">
        <f>(C148 * IFERROR(VLOOKUP(D148,LunchTable[],2,FALSE),0)) + (C149 * IFERROR(VLOOKUP(D149,LunchTable[],2,FALSE),0)) + (C150 * IFERROR(VLOOKUP(D150,LunchTable[],2,FALSE),0)) + (C151 * IFERROR(VLOOKUP(D151,LunchTable[],2,FALSE),0))</f>
        <v>56.3</v>
      </c>
      <c r="O146" s="29">
        <f>(C148 * IFERROR(VLOOKUP(D148,LunchTable[],3,FALSE),0)) + (C149 * IFERROR(VLOOKUP(D149,LunchTable[],3,FALSE),0)) + (C150 * IFERROR(VLOOKUP(D150,LunchTable[],3,FALSE),0)) + (C151 * IFERROR(VLOOKUP(D151,LunchTable[],3,FALSE),0))</f>
        <v>36.200000000000003</v>
      </c>
      <c r="P146" s="29">
        <f>(C148 * IFERROR(VLOOKUP(D148,LunchTable[],4,FALSE),0)) + (C149 * IFERROR(VLOOKUP(D149,LunchTable[],4,FALSE),0)) + (C150 * IFERROR(VLOOKUP(D150,LunchTable[],4,FALSE),0)) + (C151 * IFERROR(VLOOKUP(D151,LunchTable[],4,FALSE),0))</f>
        <v>101.3</v>
      </c>
    </row>
    <row r="147" spans="1:16" ht="18" thickBot="1" x14ac:dyDescent="0.35">
      <c r="A147" s="10" t="s">
        <v>34</v>
      </c>
      <c r="B147" s="11" t="s">
        <v>6</v>
      </c>
      <c r="C147" s="10" t="s">
        <v>34</v>
      </c>
      <c r="D147" s="11" t="s">
        <v>11</v>
      </c>
      <c r="E147" s="10" t="s">
        <v>34</v>
      </c>
      <c r="F147" s="11" t="s">
        <v>12</v>
      </c>
      <c r="G147" s="10" t="s">
        <v>34</v>
      </c>
      <c r="H147" s="12" t="s">
        <v>35</v>
      </c>
      <c r="I147" s="5" t="s">
        <v>41</v>
      </c>
      <c r="J147" s="5" t="s">
        <v>42</v>
      </c>
      <c r="K147" s="5" t="s">
        <v>43</v>
      </c>
      <c r="L147" s="25"/>
      <c r="M147" s="29" t="s">
        <v>12</v>
      </c>
      <c r="N147" s="29">
        <f>(E148 * IFERROR(VLOOKUP(F148,DinnerTable[],2,FALSE),0)) + (E149 * IFERROR(VLOOKUP(F149,DinnerTable[],2,FALSE),0)) + (E150 * IFERROR(VLOOKUP(F150,DinnerTable[],2,FALSE),0)) + (E151 * IFERROR(VLOOKUP(F151,DinnerTable[],2,FALSE),0))</f>
        <v>38.6</v>
      </c>
      <c r="O147" s="29">
        <f>(E148 * IFERROR(VLOOKUP(F148,DinnerTable[],3,FALSE),0)) + (E149 * IFERROR(VLOOKUP(F149,DinnerTable[],3,FALSE),0)) + (E150 * IFERROR(VLOOKUP(F150,DinnerTable[],3,FALSE),0)) + (E151 * IFERROR(VLOOKUP(F151,DinnerTable[],3,FALSE),0))</f>
        <v>16.3</v>
      </c>
      <c r="P147" s="29">
        <f>(E148 * IFERROR(VLOOKUP(F148,DinnerTable[],4,FALSE),0)) + (E149 * IFERROR(VLOOKUP(F149,DinnerTable[],4,FALSE),0)) + (E150 * IFERROR(VLOOKUP(F150,DinnerTable[],4,FALSE),0)) + (E151 * IFERROR(VLOOKUP(F151,DinnerTable[],4,FALSE),0))</f>
        <v>61.2</v>
      </c>
    </row>
    <row r="148" spans="1:16" ht="15.75" thickTop="1" x14ac:dyDescent="0.25">
      <c r="A148" s="17">
        <v>1</v>
      </c>
      <c r="B148" s="17" t="s">
        <v>27</v>
      </c>
      <c r="C148" s="17">
        <v>0.5</v>
      </c>
      <c r="D148" s="17" t="s">
        <v>45</v>
      </c>
      <c r="E148" s="17">
        <v>1</v>
      </c>
      <c r="F148" s="17" t="s">
        <v>63</v>
      </c>
      <c r="G148" s="17"/>
      <c r="H148" s="17"/>
      <c r="I148" s="2"/>
      <c r="J148" s="2"/>
      <c r="K148" s="2"/>
      <c r="L148" s="25"/>
      <c r="M148" s="29" t="s">
        <v>35</v>
      </c>
      <c r="N148" s="29">
        <f>(G148 * IFERROR(VLOOKUP(H148,PostWorkoutTable[],2,FALSE),0)) + (G149 * IFERROR(VLOOKUP(H149,PostWorkoutTable[],2,FALSE),0)) + (G150 * IFERROR(VLOOKUP(H150,PostWorkoutTable[],2,FALSE),0)) + (G151 * IFERROR(VLOOKUP(H151,PostWorkoutTable[],2,FALSE),0))</f>
        <v>0</v>
      </c>
      <c r="O148" s="29">
        <f>(G148 * IFERROR(VLOOKUP(H148,PostWorkoutTable[],3,FALSE),0)) + (G149 * IFERROR(VLOOKUP(H149,PostWorkoutTable[],3,FALSE),0)) + (G150 * IFERROR(VLOOKUP(H150,PostWorkoutTable[],3,FALSE),0)) + (G151 * IFERROR(VLOOKUP(H151,PostWorkoutTable[],3,FALSE),0))</f>
        <v>0</v>
      </c>
      <c r="P148" s="29">
        <f>(G148 * IFERROR(VLOOKUP(H148,PostWorkoutTable[],4,FALSE),0)) + (G149 * IFERROR(VLOOKUP(H149,PostWorkoutTable[],4,FALSE),0)) + (G150 * IFERROR(VLOOKUP(H150,PostWorkoutTable[],4,FALSE),0)) + (G151 * IFERROR(VLOOKUP(H151,PostWorkoutTable[],4,FALSE),0))</f>
        <v>0</v>
      </c>
    </row>
    <row r="149" spans="1:16" x14ac:dyDescent="0.25">
      <c r="A149" s="17">
        <v>1</v>
      </c>
      <c r="B149" s="17" t="s">
        <v>26</v>
      </c>
      <c r="C149" s="17">
        <v>0.25</v>
      </c>
      <c r="D149" s="17" t="s">
        <v>44</v>
      </c>
      <c r="E149" s="17">
        <v>1</v>
      </c>
      <c r="F149" s="17" t="s">
        <v>62</v>
      </c>
      <c r="G149" s="17"/>
      <c r="H149" s="17"/>
      <c r="I149" s="2"/>
      <c r="J149" s="2"/>
      <c r="K149" s="2"/>
      <c r="L149" s="25"/>
      <c r="M149" s="29" t="s">
        <v>21</v>
      </c>
      <c r="N149" s="29">
        <f xml:space="preserve"> SUM(I148:I151)</f>
        <v>0</v>
      </c>
      <c r="O149" s="29">
        <f>SUM(J148:J151)</f>
        <v>0</v>
      </c>
      <c r="P149" s="29">
        <f>SUM(K148:K151)</f>
        <v>0</v>
      </c>
    </row>
    <row r="150" spans="1:16" x14ac:dyDescent="0.25">
      <c r="A150" s="17"/>
      <c r="B150" s="17"/>
      <c r="C150" s="17">
        <v>1</v>
      </c>
      <c r="D150" s="17" t="s">
        <v>33</v>
      </c>
      <c r="E150" s="17">
        <v>1</v>
      </c>
      <c r="F150" s="17" t="s">
        <v>23</v>
      </c>
      <c r="G150" s="17"/>
      <c r="H150" s="17"/>
      <c r="I150" s="2"/>
      <c r="J150" s="2"/>
      <c r="K150" s="2"/>
      <c r="L150" s="25"/>
      <c r="M150" s="29" t="s">
        <v>38</v>
      </c>
      <c r="N150" s="29">
        <f>SUM(N145:N149)</f>
        <v>116.5</v>
      </c>
      <c r="O150" s="29">
        <f>SUM(O145:O149)</f>
        <v>62</v>
      </c>
      <c r="P150" s="29">
        <f>SUM(P145:P149)</f>
        <v>226.8</v>
      </c>
    </row>
    <row r="151" spans="1:16" x14ac:dyDescent="0.25">
      <c r="A151" s="17"/>
      <c r="B151" s="17"/>
      <c r="C151" s="17"/>
      <c r="D151" s="17"/>
      <c r="E151" s="17">
        <v>1</v>
      </c>
      <c r="F151" s="17" t="s">
        <v>64</v>
      </c>
      <c r="G151" s="17"/>
      <c r="H151" s="17"/>
      <c r="I151" s="2"/>
      <c r="J151" s="2"/>
      <c r="K151" s="2"/>
      <c r="L151" s="25"/>
      <c r="M151" s="25"/>
      <c r="N151" s="25"/>
      <c r="O151" s="25"/>
      <c r="P151" s="25"/>
    </row>
    <row r="152" spans="1:16" x14ac:dyDescent="0.25">
      <c r="A152" s="25"/>
      <c r="B152" s="25"/>
      <c r="C152" s="25"/>
      <c r="D152" s="25"/>
      <c r="E152" s="25"/>
      <c r="F152" s="25"/>
      <c r="G152" s="25"/>
      <c r="H152" s="25"/>
      <c r="I152" s="25"/>
      <c r="J152" s="25"/>
      <c r="K152" s="25"/>
      <c r="L152" s="25"/>
      <c r="M152" s="25"/>
      <c r="N152" s="25"/>
      <c r="O152" s="25"/>
      <c r="P152" s="25"/>
    </row>
    <row r="153" spans="1:16" ht="23.25" x14ac:dyDescent="0.35">
      <c r="A153" s="26">
        <v>43494</v>
      </c>
      <c r="B153" s="25"/>
      <c r="C153" s="25"/>
      <c r="D153" s="25"/>
      <c r="E153" s="25"/>
      <c r="F153" s="25"/>
      <c r="G153" s="25"/>
      <c r="H153" s="25"/>
      <c r="I153" s="25"/>
      <c r="J153" s="25"/>
      <c r="K153" s="25"/>
      <c r="L153" s="25"/>
      <c r="M153" s="25"/>
      <c r="N153" s="25"/>
      <c r="O153" s="25"/>
      <c r="P153" s="25"/>
    </row>
    <row r="154" spans="1:16" ht="18" thickBot="1" x14ac:dyDescent="0.35">
      <c r="A154" s="30" t="s">
        <v>48</v>
      </c>
      <c r="B154" s="30" t="s">
        <v>0</v>
      </c>
      <c r="C154" s="30" t="s">
        <v>36</v>
      </c>
      <c r="D154" s="30" t="s">
        <v>8</v>
      </c>
      <c r="E154" s="30" t="s">
        <v>9</v>
      </c>
      <c r="F154" s="30" t="s">
        <v>10</v>
      </c>
      <c r="G154" s="27"/>
      <c r="H154" s="28"/>
      <c r="I154" s="25"/>
      <c r="J154" s="25"/>
      <c r="K154" s="25"/>
      <c r="L154" s="25"/>
      <c r="M154" s="27"/>
      <c r="N154" s="29" t="s">
        <v>8</v>
      </c>
      <c r="O154" s="29" t="s">
        <v>9</v>
      </c>
      <c r="P154" s="29" t="s">
        <v>10</v>
      </c>
    </row>
    <row r="155" spans="1:16" ht="15.75" thickTop="1" x14ac:dyDescent="0.25">
      <c r="A155" s="18">
        <v>43493</v>
      </c>
      <c r="B155" s="16">
        <f>IFERROR(VLOOKUP(A155,OverviewTable[],2,FALSE),"?")</f>
        <v>126.2</v>
      </c>
      <c r="C155" s="16" t="str">
        <f>((N160 * 4) + (O160 * 9) + (P160 * 4))&amp;"/"&amp;IFERROR(VLOOKUP(A155,OverviewTable[],11,FALSE),"?")</f>
        <v>2342.42/2269.2</v>
      </c>
      <c r="D155" s="16" t="str">
        <f>N160&amp;"/"&amp;IFERROR(VLOOKUP(A155,OverviewTable[],12,FALSE),"?")</f>
        <v>176.66/126</v>
      </c>
      <c r="E155" s="16" t="str">
        <f>O160&amp;"/"&amp;IFERROR(VLOOKUP(A155,OverviewTable[],13,FALSE),"?")</f>
        <v>84.02/63</v>
      </c>
      <c r="F155" s="16" t="str">
        <f>P160&amp;"/"&amp;IFERROR(VLOOKUP(A155,OverviewTable[],14,FALSE),"?")</f>
        <v>219.9/300</v>
      </c>
      <c r="G155" s="28"/>
      <c r="H155" s="28"/>
      <c r="I155" s="25"/>
      <c r="J155" s="25"/>
      <c r="K155" s="25"/>
      <c r="L155" s="25"/>
      <c r="M155" s="29" t="s">
        <v>6</v>
      </c>
      <c r="N155" s="29">
        <f>(A158 * IFERROR(VLOOKUP(B158,BreakfastTable[],2,FALSE),0)) + (A159 * IFERROR(VLOOKUP(B159,BreakfastTable[],2,FALSE),0)) + (A160 * IFERROR(VLOOKUP(B160,BreakfastTable[],2,FALSE),0)) + (A161 * IFERROR(VLOOKUP(B161,BreakfastTable[],2,FALSE),0))</f>
        <v>20.3</v>
      </c>
      <c r="O155" s="29">
        <f>(A158 * IFERROR(VLOOKUP(B158,BreakfastTable[],3,FALSE),0)) + (A159 * IFERROR(VLOOKUP(B159,BreakfastTable[],3,FALSE),0)) + (A160 * IFERROR(VLOOKUP(B160,BreakfastTable[],3,FALSE),0)) + (A161 * IFERROR(VLOOKUP(B161,BreakfastTable[],3,FALSE),0))</f>
        <v>9.1999999999999993</v>
      </c>
      <c r="P155" s="29">
        <f>(A158 * IFERROR(VLOOKUP(B158,BreakfastTable[],4,FALSE),0)) + (A159 * IFERROR(VLOOKUP(B159,BreakfastTable[],4,FALSE),0)) + (A160 * IFERROR(VLOOKUP(B160,BreakfastTable[],4,FALSE),0)) + (A161 * IFERROR(VLOOKUP(B161,BreakfastTable[],4,FALSE),0))</f>
        <v>47.3</v>
      </c>
    </row>
    <row r="156" spans="1:16" x14ac:dyDescent="0.25">
      <c r="A156" s="17"/>
      <c r="B156" s="17"/>
      <c r="C156" s="17"/>
      <c r="D156" s="17"/>
      <c r="E156" s="17"/>
      <c r="F156" s="17"/>
      <c r="G156" s="28"/>
      <c r="H156" s="28"/>
      <c r="I156" s="25"/>
      <c r="J156" s="25"/>
      <c r="K156" s="25"/>
      <c r="L156" s="25"/>
      <c r="M156" s="29" t="s">
        <v>11</v>
      </c>
      <c r="N156" s="29">
        <f>(C158 * IFERROR(VLOOKUP(D158,LunchTable[],2,FALSE),0)) + (C159 * IFERROR(VLOOKUP(D159,LunchTable[],2,FALSE),0)) + (C160 * IFERROR(VLOOKUP(D160,LunchTable[],2,FALSE),0)) + (C161 * IFERROR(VLOOKUP(D161,LunchTable[],2,FALSE),0))</f>
        <v>63.160000000000004</v>
      </c>
      <c r="O156" s="29">
        <f>(C158 * IFERROR(VLOOKUP(D158,LunchTable[],3,FALSE),0)) + (C159 * IFERROR(VLOOKUP(D159,LunchTable[],3,FALSE),0)) + (C160 * IFERROR(VLOOKUP(D160,LunchTable[],3,FALSE),0)) + (C161 * IFERROR(VLOOKUP(D161,LunchTable[],3,FALSE),0))</f>
        <v>16.920000000000002</v>
      </c>
      <c r="P156" s="29">
        <f>(C158 * IFERROR(VLOOKUP(D158,LunchTable[],4,FALSE),0)) + (C159 * IFERROR(VLOOKUP(D159,LunchTable[],4,FALSE),0)) + (C160 * IFERROR(VLOOKUP(D160,LunchTable[],4,FALSE),0)) + (C161 * IFERROR(VLOOKUP(D161,LunchTable[],4,FALSE),0))</f>
        <v>66.2</v>
      </c>
    </row>
    <row r="157" spans="1:16" ht="18" thickBot="1" x14ac:dyDescent="0.35">
      <c r="A157" s="10" t="s">
        <v>34</v>
      </c>
      <c r="B157" s="11" t="s">
        <v>6</v>
      </c>
      <c r="C157" s="10" t="s">
        <v>34</v>
      </c>
      <c r="D157" s="11" t="s">
        <v>11</v>
      </c>
      <c r="E157" s="10" t="s">
        <v>34</v>
      </c>
      <c r="F157" s="11" t="s">
        <v>12</v>
      </c>
      <c r="G157" s="10" t="s">
        <v>34</v>
      </c>
      <c r="H157" s="12" t="s">
        <v>35</v>
      </c>
      <c r="I157" s="5" t="s">
        <v>41</v>
      </c>
      <c r="J157" s="5" t="s">
        <v>42</v>
      </c>
      <c r="K157" s="5" t="s">
        <v>43</v>
      </c>
      <c r="L157" s="25"/>
      <c r="M157" s="29" t="s">
        <v>12</v>
      </c>
      <c r="N157" s="29">
        <f>(E158 * IFERROR(VLOOKUP(F158,DinnerTable[],2,FALSE),0)) + (E159 * IFERROR(VLOOKUP(F159,DinnerTable[],2,FALSE),0)) + (E160 * IFERROR(VLOOKUP(F160,DinnerTable[],2,FALSE),0)) + (E161 * IFERROR(VLOOKUP(F161,DinnerTable[],2,FALSE),0))</f>
        <v>61</v>
      </c>
      <c r="O157" s="29">
        <f>(E158 * IFERROR(VLOOKUP(F158,DinnerTable[],3,FALSE),0)) + (E159 * IFERROR(VLOOKUP(F159,DinnerTable[],3,FALSE),0)) + (E160 * IFERROR(VLOOKUP(F160,DinnerTable[],3,FALSE),0)) + (E161 * IFERROR(VLOOKUP(F161,DinnerTable[],3,FALSE),0))</f>
        <v>43</v>
      </c>
      <c r="P157" s="29">
        <f>(E158 * IFERROR(VLOOKUP(F158,DinnerTable[],4,FALSE),0)) + (E159 * IFERROR(VLOOKUP(F159,DinnerTable[],4,FALSE),0)) + (E160 * IFERROR(VLOOKUP(F160,DinnerTable[],4,FALSE),0)) + (E161 * IFERROR(VLOOKUP(F161,DinnerTable[],4,FALSE),0))</f>
        <v>56</v>
      </c>
    </row>
    <row r="158" spans="1:16" ht="15.75" thickTop="1" x14ac:dyDescent="0.25">
      <c r="A158" s="17">
        <v>1</v>
      </c>
      <c r="B158" s="17" t="s">
        <v>26</v>
      </c>
      <c r="C158" s="17">
        <v>0.33</v>
      </c>
      <c r="D158" s="17" t="s">
        <v>51</v>
      </c>
      <c r="E158" s="17">
        <v>1</v>
      </c>
      <c r="F158" s="17" t="s">
        <v>50</v>
      </c>
      <c r="G158" s="17">
        <v>1</v>
      </c>
      <c r="H158" s="17" t="s">
        <v>96</v>
      </c>
      <c r="I158" s="2"/>
      <c r="J158" s="2"/>
      <c r="K158" s="2"/>
      <c r="L158" s="25"/>
      <c r="M158" s="29" t="s">
        <v>35</v>
      </c>
      <c r="N158" s="29">
        <f>(G158 * IFERROR(VLOOKUP(H158,PostWorkoutTable[],2,FALSE),0)) + (G159 * IFERROR(VLOOKUP(H159,PostWorkoutTable[],2,FALSE),0)) + (G160 * IFERROR(VLOOKUP(H160,PostWorkoutTable[],2,FALSE),0)) + (G161 * IFERROR(VLOOKUP(H161,PostWorkoutTable[],2,FALSE),0))</f>
        <v>32.200000000000003</v>
      </c>
      <c r="O158" s="29">
        <f>(G158 * IFERROR(VLOOKUP(H158,PostWorkoutTable[],3,FALSE),0)) + (G159 * IFERROR(VLOOKUP(H159,PostWorkoutTable[],3,FALSE),0)) + (G160 * IFERROR(VLOOKUP(H160,PostWorkoutTable[],3,FALSE),0)) + (G161 * IFERROR(VLOOKUP(H161,PostWorkoutTable[],3,FALSE),0))</f>
        <v>14.9</v>
      </c>
      <c r="P158" s="29">
        <f>(G158 * IFERROR(VLOOKUP(H158,PostWorkoutTable[],4,FALSE),0)) + (G159 * IFERROR(VLOOKUP(H159,PostWorkoutTable[],4,FALSE),0)) + (G160 * IFERROR(VLOOKUP(H160,PostWorkoutTable[],4,FALSE),0)) + (G161 * IFERROR(VLOOKUP(H161,PostWorkoutTable[],4,FALSE),0))</f>
        <v>50.4</v>
      </c>
    </row>
    <row r="159" spans="1:16" x14ac:dyDescent="0.25">
      <c r="A159" s="17">
        <v>1</v>
      </c>
      <c r="B159" s="17" t="s">
        <v>33</v>
      </c>
      <c r="C159" s="17">
        <v>0.33</v>
      </c>
      <c r="D159" s="17" t="s">
        <v>52</v>
      </c>
      <c r="E159" s="17">
        <v>2</v>
      </c>
      <c r="F159" s="17" t="s">
        <v>65</v>
      </c>
      <c r="G159" s="17"/>
      <c r="H159" s="17"/>
      <c r="I159" s="2"/>
      <c r="J159" s="2"/>
      <c r="K159" s="2"/>
      <c r="L159" s="25"/>
      <c r="M159" s="29" t="s">
        <v>21</v>
      </c>
      <c r="N159" s="29">
        <f xml:space="preserve"> SUM(I158:I161)</f>
        <v>0</v>
      </c>
      <c r="O159" s="29">
        <f>SUM(J158:J161)</f>
        <v>0</v>
      </c>
      <c r="P159" s="29">
        <f>SUM(K158:K161)</f>
        <v>0</v>
      </c>
    </row>
    <row r="160" spans="1:16" x14ac:dyDescent="0.25">
      <c r="A160" s="17"/>
      <c r="B160" s="17"/>
      <c r="C160" s="17">
        <v>1</v>
      </c>
      <c r="D160" s="17" t="s">
        <v>23</v>
      </c>
      <c r="E160" s="17">
        <v>2</v>
      </c>
      <c r="F160" s="17" t="s">
        <v>66</v>
      </c>
      <c r="G160" s="17"/>
      <c r="H160" s="17"/>
      <c r="I160" s="2"/>
      <c r="J160" s="2"/>
      <c r="K160" s="2"/>
      <c r="L160" s="25"/>
      <c r="M160" s="29" t="s">
        <v>38</v>
      </c>
      <c r="N160" s="29">
        <f>SUM(N155:N159)</f>
        <v>176.66000000000003</v>
      </c>
      <c r="O160" s="29">
        <f>SUM(O155:O159)</f>
        <v>84.02000000000001</v>
      </c>
      <c r="P160" s="29">
        <f>SUM(P155:P159)</f>
        <v>219.9</v>
      </c>
    </row>
    <row r="161" spans="1:16" x14ac:dyDescent="0.25">
      <c r="A161" s="17"/>
      <c r="B161" s="17"/>
      <c r="C161" s="17">
        <v>1</v>
      </c>
      <c r="D161" s="17" t="s">
        <v>90</v>
      </c>
      <c r="E161" s="17"/>
      <c r="F161" s="17"/>
      <c r="G161" s="17"/>
      <c r="H161" s="17"/>
      <c r="I161" s="2"/>
      <c r="J161" s="2"/>
      <c r="K161" s="2"/>
      <c r="L161" s="25"/>
      <c r="M161" s="25"/>
      <c r="N161" s="25"/>
      <c r="O161" s="25"/>
      <c r="P161" s="25"/>
    </row>
    <row r="162" spans="1:16" x14ac:dyDescent="0.25">
      <c r="A162" s="25"/>
      <c r="B162" s="25"/>
      <c r="C162" s="25"/>
      <c r="D162" s="25"/>
      <c r="E162" s="25"/>
      <c r="F162" s="25"/>
      <c r="G162" s="25"/>
      <c r="H162" s="25"/>
      <c r="I162" s="25"/>
      <c r="J162" s="25"/>
      <c r="K162" s="25"/>
      <c r="L162" s="25"/>
      <c r="M162" s="25"/>
      <c r="N162" s="25"/>
      <c r="O162" s="25"/>
      <c r="P162" s="25"/>
    </row>
    <row r="163" spans="1:16" ht="23.25" x14ac:dyDescent="0.35">
      <c r="A163" s="26">
        <v>43495</v>
      </c>
      <c r="B163" s="25"/>
      <c r="C163" s="25"/>
      <c r="D163" s="25"/>
      <c r="E163" s="25"/>
      <c r="F163" s="25"/>
      <c r="G163" s="25"/>
      <c r="H163" s="25"/>
      <c r="I163" s="25"/>
      <c r="J163" s="25"/>
      <c r="K163" s="25"/>
      <c r="L163" s="25"/>
      <c r="M163" s="25"/>
      <c r="N163" s="25"/>
      <c r="O163" s="25"/>
      <c r="P163" s="25"/>
    </row>
    <row r="164" spans="1:16" ht="18" thickBot="1" x14ac:dyDescent="0.35">
      <c r="A164" s="3" t="s">
        <v>48</v>
      </c>
      <c r="B164" s="3" t="s">
        <v>0</v>
      </c>
      <c r="C164" s="3" t="s">
        <v>36</v>
      </c>
      <c r="D164" s="3" t="s">
        <v>8</v>
      </c>
      <c r="E164" s="5" t="s">
        <v>9</v>
      </c>
      <c r="F164" s="5" t="s">
        <v>10</v>
      </c>
      <c r="G164" s="27"/>
      <c r="H164" s="28"/>
      <c r="I164" s="25"/>
      <c r="J164" s="25"/>
      <c r="K164" s="25"/>
      <c r="L164" s="25"/>
      <c r="M164" s="27"/>
      <c r="N164" s="29" t="s">
        <v>8</v>
      </c>
      <c r="O164" s="29" t="s">
        <v>9</v>
      </c>
      <c r="P164" s="29" t="s">
        <v>10</v>
      </c>
    </row>
    <row r="165" spans="1:16" ht="15.75" thickTop="1" x14ac:dyDescent="0.25">
      <c r="A165" s="18">
        <v>43493</v>
      </c>
      <c r="B165" s="16">
        <f>IFERROR(VLOOKUP(A165,OverviewTable[],2,FALSE),"?")</f>
        <v>126.2</v>
      </c>
      <c r="C165" s="16" t="str">
        <f>((N170 * 4) + (O170 * 9) + (P170 * 4))&amp;"/"&amp;IFERROR(VLOOKUP(A165,OverviewTable[],11,FALSE),"?")</f>
        <v>2233.875/2269.2</v>
      </c>
      <c r="D165" s="16" t="str">
        <f>N170&amp;"/"&amp;IFERROR(VLOOKUP(A165,OverviewTable[],12,FALSE),"?")</f>
        <v>105.75/126</v>
      </c>
      <c r="E165" s="16" t="str">
        <f>O170&amp;"/"&amp;IFERROR(VLOOKUP(A165,OverviewTable[],13,FALSE),"?")</f>
        <v>74.875/63</v>
      </c>
      <c r="F165" s="16" t="str">
        <f>P170&amp;"/"&amp;IFERROR(VLOOKUP(A165,OverviewTable[],14,FALSE),"?")</f>
        <v>284.25/300</v>
      </c>
      <c r="G165" s="28"/>
      <c r="H165" s="28"/>
      <c r="I165" s="25"/>
      <c r="J165" s="25"/>
      <c r="K165" s="25"/>
      <c r="L165" s="25"/>
      <c r="M165" s="29" t="s">
        <v>6</v>
      </c>
      <c r="N165" s="29">
        <f>(A168 * IFERROR(VLOOKUP(B168,BreakfastTable[],2,FALSE),0)) + (A169 * IFERROR(VLOOKUP(B169,BreakfastTable[],2,FALSE),0)) + (A170 * IFERROR(VLOOKUP(B170,BreakfastTable[],2,FALSE),0)) + (A171 * IFERROR(VLOOKUP(B171,BreakfastTable[],2,FALSE),0))</f>
        <v>20</v>
      </c>
      <c r="O165" s="29">
        <f>(A168 * IFERROR(VLOOKUP(B168,BreakfastTable[],3,FALSE),0)) + (A169 * IFERROR(VLOOKUP(B169,BreakfastTable[],3,FALSE),0)) + (A170 * IFERROR(VLOOKUP(B170,BreakfastTable[],3,FALSE),0)) + (A171 * IFERROR(VLOOKUP(B171,BreakfastTable[],3,FALSE),0))</f>
        <v>9</v>
      </c>
      <c r="P165" s="29">
        <f>(A168 * IFERROR(VLOOKUP(B168,BreakfastTable[],4,FALSE),0)) + (A169 * IFERROR(VLOOKUP(B169,BreakfastTable[],4,FALSE),0)) + (A170 * IFERROR(VLOOKUP(B170,BreakfastTable[],4,FALSE),0)) + (A171 * IFERROR(VLOOKUP(B171,BreakfastTable[],4,FALSE),0))</f>
        <v>30</v>
      </c>
    </row>
    <row r="166" spans="1:16" x14ac:dyDescent="0.25">
      <c r="A166" s="17"/>
      <c r="B166" s="17"/>
      <c r="C166" s="17"/>
      <c r="D166" s="17"/>
      <c r="E166" s="17"/>
      <c r="F166" s="17"/>
      <c r="G166" s="28"/>
      <c r="H166" s="28"/>
      <c r="I166" s="25"/>
      <c r="J166" s="25"/>
      <c r="K166" s="25"/>
      <c r="L166" s="25"/>
      <c r="M166" s="29" t="s">
        <v>11</v>
      </c>
      <c r="N166" s="29">
        <f>(C168 * IFERROR(VLOOKUP(D168,LunchTable[],2,FALSE),0)) + (C169 * IFERROR(VLOOKUP(D169,LunchTable[],2,FALSE),0)) + (C170 * IFERROR(VLOOKUP(D170,LunchTable[],2,FALSE),0)) + (C171 * IFERROR(VLOOKUP(D171,LunchTable[],2,FALSE),0))</f>
        <v>48</v>
      </c>
      <c r="O166" s="29">
        <f>(C168 * IFERROR(VLOOKUP(D168,LunchTable[],3,FALSE),0)) + (C169 * IFERROR(VLOOKUP(D169,LunchTable[],3,FALSE),0)) + (C170 * IFERROR(VLOOKUP(D170,LunchTable[],3,FALSE),0)) + (C171 * IFERROR(VLOOKUP(D171,LunchTable[],3,FALSE),0))</f>
        <v>62</v>
      </c>
      <c r="P166" s="29">
        <f>(C168 * IFERROR(VLOOKUP(D168,LunchTable[],4,FALSE),0)) + (C169 * IFERROR(VLOOKUP(D169,LunchTable[],4,FALSE),0)) + (C170 * IFERROR(VLOOKUP(D170,LunchTable[],4,FALSE),0)) + (C171 * IFERROR(VLOOKUP(D171,LunchTable[],4,FALSE),0))</f>
        <v>169</v>
      </c>
    </row>
    <row r="167" spans="1:16" ht="18" thickBot="1" x14ac:dyDescent="0.35">
      <c r="A167" s="10" t="s">
        <v>34</v>
      </c>
      <c r="B167" s="11" t="s">
        <v>6</v>
      </c>
      <c r="C167" s="10" t="s">
        <v>34</v>
      </c>
      <c r="D167" s="11" t="s">
        <v>11</v>
      </c>
      <c r="E167" s="10" t="s">
        <v>34</v>
      </c>
      <c r="F167" s="11" t="s">
        <v>12</v>
      </c>
      <c r="G167" s="10" t="s">
        <v>34</v>
      </c>
      <c r="H167" s="12" t="s">
        <v>35</v>
      </c>
      <c r="I167" s="5" t="s">
        <v>41</v>
      </c>
      <c r="J167" s="5" t="s">
        <v>42</v>
      </c>
      <c r="K167" s="5" t="s">
        <v>43</v>
      </c>
      <c r="L167" s="25"/>
      <c r="M167" s="29" t="s">
        <v>12</v>
      </c>
      <c r="N167" s="29">
        <f>(E168 * IFERROR(VLOOKUP(F168,DinnerTable[],2,FALSE),0)) + (E169 * IFERROR(VLOOKUP(F169,DinnerTable[],2,FALSE),0)) + (E170 * IFERROR(VLOOKUP(F170,DinnerTable[],2,FALSE),0)) + (E171 * IFERROR(VLOOKUP(F171,DinnerTable[],2,FALSE),0))</f>
        <v>37.75</v>
      </c>
      <c r="O167" s="29">
        <f>(E168 * IFERROR(VLOOKUP(F168,DinnerTable[],3,FALSE),0)) + (E169 * IFERROR(VLOOKUP(F169,DinnerTable[],3,FALSE),0)) + (E170 * IFERROR(VLOOKUP(F170,DinnerTable[],3,FALSE),0)) + (E171 * IFERROR(VLOOKUP(F171,DinnerTable[],3,FALSE),0))</f>
        <v>3.875</v>
      </c>
      <c r="P167" s="29">
        <f>(E168 * IFERROR(VLOOKUP(F168,DinnerTable[],4,FALSE),0)) + (E169 * IFERROR(VLOOKUP(F169,DinnerTable[],4,FALSE),0)) + (E170 * IFERROR(VLOOKUP(F170,DinnerTable[],4,FALSE),0)) + (E171 * IFERROR(VLOOKUP(F171,DinnerTable[],4,FALSE),0))</f>
        <v>85.25</v>
      </c>
    </row>
    <row r="168" spans="1:16" ht="15.75" thickTop="1" x14ac:dyDescent="0.25">
      <c r="A168" s="17">
        <v>1</v>
      </c>
      <c r="B168" s="17" t="s">
        <v>26</v>
      </c>
      <c r="C168" s="17">
        <v>1</v>
      </c>
      <c r="D168" s="17" t="s">
        <v>24</v>
      </c>
      <c r="E168" s="17">
        <v>0.25</v>
      </c>
      <c r="F168" s="17" t="s">
        <v>53</v>
      </c>
      <c r="G168" s="17"/>
      <c r="H168" s="17"/>
      <c r="I168" s="2"/>
      <c r="J168" s="2"/>
      <c r="K168" s="2"/>
      <c r="L168" s="25"/>
      <c r="M168" s="29" t="s">
        <v>35</v>
      </c>
      <c r="N168" s="29">
        <f>(G168 * IFERROR(VLOOKUP(H168,PostWorkoutTable[],2,FALSE),0)) + (G169 * IFERROR(VLOOKUP(H169,PostWorkoutTable[],2,FALSE),0)) + (G170 * IFERROR(VLOOKUP(H170,PostWorkoutTable[],2,FALSE),0)) + (G171 * IFERROR(VLOOKUP(H171,PostWorkoutTable[],2,FALSE),0))</f>
        <v>0</v>
      </c>
      <c r="O168" s="29">
        <f>(G168 * IFERROR(VLOOKUP(H168,PostWorkoutTable[],3,FALSE),0)) + (G169 * IFERROR(VLOOKUP(H169,PostWorkoutTable[],3,FALSE),0)) + (G170 * IFERROR(VLOOKUP(H170,PostWorkoutTable[],3,FALSE),0)) + (G171 * IFERROR(VLOOKUP(H171,PostWorkoutTable[],3,FALSE),0))</f>
        <v>0</v>
      </c>
      <c r="P168" s="29">
        <f>(G168 * IFERROR(VLOOKUP(H168,PostWorkoutTable[],4,FALSE),0)) + (G169 * IFERROR(VLOOKUP(H169,PostWorkoutTable[],4,FALSE),0)) + (G170 * IFERROR(VLOOKUP(H170,PostWorkoutTable[],4,FALSE),0)) + (G171 * IFERROR(VLOOKUP(H171,PostWorkoutTable[],4,FALSE),0))</f>
        <v>0</v>
      </c>
    </row>
    <row r="169" spans="1:16" x14ac:dyDescent="0.25">
      <c r="A169" s="17"/>
      <c r="B169" s="17"/>
      <c r="C169" s="17">
        <v>1</v>
      </c>
      <c r="D169" s="17" t="s">
        <v>55</v>
      </c>
      <c r="E169" s="17">
        <v>0.25</v>
      </c>
      <c r="F169" s="17" t="s">
        <v>44</v>
      </c>
      <c r="G169" s="17"/>
      <c r="H169" s="17"/>
      <c r="I169" s="2"/>
      <c r="J169" s="2"/>
      <c r="K169" s="2"/>
      <c r="L169" s="25"/>
      <c r="M169" s="29" t="s">
        <v>21</v>
      </c>
      <c r="N169" s="29">
        <f xml:space="preserve"> SUM(I168:I171)</f>
        <v>0</v>
      </c>
      <c r="O169" s="29">
        <f>SUM(J168:J171)</f>
        <v>0</v>
      </c>
      <c r="P169" s="29">
        <f>SUM(K168:K171)</f>
        <v>0</v>
      </c>
    </row>
    <row r="170" spans="1:16" x14ac:dyDescent="0.25">
      <c r="A170" s="17"/>
      <c r="B170" s="17"/>
      <c r="C170" s="17">
        <v>1</v>
      </c>
      <c r="D170" s="17" t="s">
        <v>54</v>
      </c>
      <c r="E170" s="17"/>
      <c r="F170" s="17"/>
      <c r="G170" s="17"/>
      <c r="H170" s="17"/>
      <c r="I170" s="2"/>
      <c r="J170" s="2"/>
      <c r="K170" s="2"/>
      <c r="L170" s="25"/>
      <c r="M170" s="29" t="s">
        <v>38</v>
      </c>
      <c r="N170" s="29">
        <f>SUM(N165:N169)</f>
        <v>105.75</v>
      </c>
      <c r="O170" s="29">
        <f>SUM(O165:O169)</f>
        <v>74.875</v>
      </c>
      <c r="P170" s="29">
        <f>SUM(P165:P169)</f>
        <v>284.25</v>
      </c>
    </row>
    <row r="171" spans="1:16" x14ac:dyDescent="0.25">
      <c r="A171" s="17"/>
      <c r="B171" s="17"/>
      <c r="C171" s="17"/>
      <c r="D171" s="17"/>
      <c r="E171" s="17"/>
      <c r="F171" s="17"/>
      <c r="G171" s="17"/>
      <c r="H171" s="17"/>
      <c r="I171" s="2"/>
      <c r="J171" s="2"/>
      <c r="K171" s="2"/>
      <c r="L171" s="25"/>
      <c r="M171" s="25"/>
      <c r="N171" s="25"/>
      <c r="O171" s="25"/>
      <c r="P171" s="25"/>
    </row>
    <row r="172" spans="1:16" x14ac:dyDescent="0.25">
      <c r="A172" s="25"/>
      <c r="B172" s="25"/>
      <c r="C172" s="25"/>
      <c r="D172" s="25"/>
      <c r="E172" s="25"/>
      <c r="F172" s="25"/>
      <c r="G172" s="25"/>
      <c r="H172" s="25"/>
      <c r="I172" s="25"/>
      <c r="J172" s="25"/>
      <c r="K172" s="25"/>
      <c r="L172" s="25"/>
      <c r="M172" s="25"/>
      <c r="N172" s="25"/>
      <c r="O172" s="25"/>
      <c r="P172" s="25"/>
    </row>
    <row r="173" spans="1:16" ht="23.25" x14ac:dyDescent="0.35">
      <c r="A173" s="26">
        <v>43496</v>
      </c>
      <c r="B173" s="25"/>
      <c r="C173" s="25"/>
      <c r="D173" s="25"/>
      <c r="E173" s="25"/>
      <c r="F173" s="25"/>
      <c r="G173" s="25"/>
      <c r="H173" s="25"/>
      <c r="I173" s="25"/>
      <c r="J173" s="25"/>
      <c r="K173" s="25"/>
      <c r="L173" s="25"/>
      <c r="M173" s="25"/>
      <c r="N173" s="25"/>
      <c r="O173" s="25"/>
      <c r="P173" s="25"/>
    </row>
    <row r="174" spans="1:16" ht="18" thickBot="1" x14ac:dyDescent="0.35">
      <c r="A174" s="3" t="s">
        <v>48</v>
      </c>
      <c r="B174" s="3" t="s">
        <v>0</v>
      </c>
      <c r="C174" s="3" t="s">
        <v>36</v>
      </c>
      <c r="D174" s="3" t="s">
        <v>8</v>
      </c>
      <c r="E174" s="5" t="s">
        <v>9</v>
      </c>
      <c r="F174" s="5" t="s">
        <v>10</v>
      </c>
      <c r="G174" s="27"/>
      <c r="H174" s="28"/>
      <c r="I174" s="25"/>
      <c r="J174" s="25"/>
      <c r="K174" s="25"/>
      <c r="L174" s="25"/>
      <c r="M174" s="27"/>
      <c r="N174" s="29" t="s">
        <v>8</v>
      </c>
      <c r="O174" s="29" t="s">
        <v>9</v>
      </c>
      <c r="P174" s="29" t="s">
        <v>10</v>
      </c>
    </row>
    <row r="175" spans="1:16" ht="15.75" thickTop="1" x14ac:dyDescent="0.25">
      <c r="A175" s="18">
        <v>43493</v>
      </c>
      <c r="B175" s="16">
        <f>IFERROR(VLOOKUP(A175,OverviewTable[],2,FALSE),"?")</f>
        <v>126.2</v>
      </c>
      <c r="C175" s="16" t="str">
        <f>((N180 * 4) + (O180 * 9) + (P180 * 4))&amp;"/"&amp;IFERROR(VLOOKUP(A175,OverviewTable[],11,FALSE),"?")</f>
        <v>2412.7/2269.2</v>
      </c>
      <c r="D175" s="16" t="str">
        <f>N180&amp;"/"&amp;IFERROR(VLOOKUP(A175,OverviewTable[],12,FALSE),"?")</f>
        <v>105/126</v>
      </c>
      <c r="E175" s="16" t="str">
        <f>O180&amp;"/"&amp;IFERROR(VLOOKUP(A175,OverviewTable[],13,FALSE),"?")</f>
        <v>115.5/63</v>
      </c>
      <c r="F175" s="16" t="str">
        <f>P180&amp;"/"&amp;IFERROR(VLOOKUP(A175,OverviewTable[],14,FALSE),"?")</f>
        <v>238.3/300</v>
      </c>
      <c r="G175" s="28"/>
      <c r="H175" s="28"/>
      <c r="I175" s="25"/>
      <c r="J175" s="25"/>
      <c r="K175" s="25"/>
      <c r="L175" s="25"/>
      <c r="M175" s="29" t="s">
        <v>6</v>
      </c>
      <c r="N175" s="29">
        <f>(A178 * IFERROR(VLOOKUP(B178,BreakfastTable[],2,FALSE),0)) + (A179 * IFERROR(VLOOKUP(B179,BreakfastTable[],2,FALSE),0)) + (A180 * IFERROR(VLOOKUP(B180,BreakfastTable[],2,FALSE),0)) + (A181 * IFERROR(VLOOKUP(B181,BreakfastTable[],2,FALSE),0))</f>
        <v>21.6</v>
      </c>
      <c r="O175" s="29">
        <f>(A178 * IFERROR(VLOOKUP(B178,BreakfastTable[],3,FALSE),0)) + (A179 * IFERROR(VLOOKUP(B179,BreakfastTable[],3,FALSE),0)) + (A180 * IFERROR(VLOOKUP(B180,BreakfastTable[],3,FALSE),0)) + (A181 * IFERROR(VLOOKUP(B181,BreakfastTable[],3,FALSE),0))</f>
        <v>9.5</v>
      </c>
      <c r="P175" s="29">
        <f>(A178 * IFERROR(VLOOKUP(B178,BreakfastTable[],4,FALSE),0)) + (A179 * IFERROR(VLOOKUP(B179,BreakfastTable[],4,FALSE),0)) + (A180 * IFERROR(VLOOKUP(B180,BreakfastTable[],4,FALSE),0)) + (A181 * IFERROR(VLOOKUP(B181,BreakfastTable[],4,FALSE),0))</f>
        <v>64.3</v>
      </c>
    </row>
    <row r="176" spans="1:16" x14ac:dyDescent="0.25">
      <c r="A176" s="17"/>
      <c r="B176" s="17"/>
      <c r="C176" s="17"/>
      <c r="D176" s="17"/>
      <c r="E176" s="17"/>
      <c r="F176" s="17"/>
      <c r="G176" s="28"/>
      <c r="H176" s="28"/>
      <c r="I176" s="25"/>
      <c r="J176" s="25"/>
      <c r="K176" s="25"/>
      <c r="L176" s="25"/>
      <c r="M176" s="29" t="s">
        <v>11</v>
      </c>
      <c r="N176" s="29">
        <f>(C178 * IFERROR(VLOOKUP(D178,LunchTable[],2,FALSE),0)) + (C179 * IFERROR(VLOOKUP(D179,LunchTable[],2,FALSE),0)) + (C180 * IFERROR(VLOOKUP(D180,LunchTable[],2,FALSE),0)) + (C181 * IFERROR(VLOOKUP(D181,LunchTable[],2,FALSE),0))</f>
        <v>0</v>
      </c>
      <c r="O176" s="29">
        <f>(C178 * IFERROR(VLOOKUP(D178,LunchTable[],3,FALSE),0)) + (C179 * IFERROR(VLOOKUP(D179,LunchTable[],3,FALSE),0)) + (C180 * IFERROR(VLOOKUP(D180,LunchTable[],3,FALSE),0)) + (C181 * IFERROR(VLOOKUP(D181,LunchTable[],3,FALSE),0))</f>
        <v>0</v>
      </c>
      <c r="P176" s="29">
        <f>(C178 * IFERROR(VLOOKUP(D178,LunchTable[],4,FALSE),0)) + (C179 * IFERROR(VLOOKUP(D179,LunchTable[],4,FALSE),0)) + (C180 * IFERROR(VLOOKUP(D180,LunchTable[],4,FALSE),0)) + (C181 * IFERROR(VLOOKUP(D181,LunchTable[],4,FALSE),0))</f>
        <v>0</v>
      </c>
    </row>
    <row r="177" spans="1:16" ht="18" thickBot="1" x14ac:dyDescent="0.35">
      <c r="A177" s="10" t="s">
        <v>34</v>
      </c>
      <c r="B177" s="11" t="s">
        <v>6</v>
      </c>
      <c r="C177" s="10" t="s">
        <v>34</v>
      </c>
      <c r="D177" s="11" t="s">
        <v>11</v>
      </c>
      <c r="E177" s="10" t="s">
        <v>34</v>
      </c>
      <c r="F177" s="11" t="s">
        <v>12</v>
      </c>
      <c r="G177" s="10" t="s">
        <v>34</v>
      </c>
      <c r="H177" s="12" t="s">
        <v>35</v>
      </c>
      <c r="I177" s="5" t="s">
        <v>41</v>
      </c>
      <c r="J177" s="5" t="s">
        <v>42</v>
      </c>
      <c r="K177" s="5" t="s">
        <v>43</v>
      </c>
      <c r="L177" s="25"/>
      <c r="M177" s="29" t="s">
        <v>12</v>
      </c>
      <c r="N177" s="29">
        <f>(E178 * IFERROR(VLOOKUP(F178,DinnerTable[],2,FALSE),0)) + (E179 * IFERROR(VLOOKUP(F179,DinnerTable[],2,FALSE),0)) + (E180 * IFERROR(VLOOKUP(F180,DinnerTable[],2,FALSE),0)) + (E181 * IFERROR(VLOOKUP(F181,DinnerTable[],2,FALSE),0))</f>
        <v>40</v>
      </c>
      <c r="O177" s="29">
        <f>(E178 * IFERROR(VLOOKUP(F178,DinnerTable[],3,FALSE),0)) + (E179 * IFERROR(VLOOKUP(F179,DinnerTable[],3,FALSE),0)) + (E180 * IFERROR(VLOOKUP(F180,DinnerTable[],3,FALSE),0)) + (E181 * IFERROR(VLOOKUP(F181,DinnerTable[],3,FALSE),0))</f>
        <v>40</v>
      </c>
      <c r="P177" s="29">
        <f>(E178 * IFERROR(VLOOKUP(F178,DinnerTable[],4,FALSE),0)) + (E179 * IFERROR(VLOOKUP(F179,DinnerTable[],4,FALSE),0)) + (E180 * IFERROR(VLOOKUP(F180,DinnerTable[],4,FALSE),0)) + (E181 * IFERROR(VLOOKUP(F181,DinnerTable[],4,FALSE),0))</f>
        <v>30</v>
      </c>
    </row>
    <row r="178" spans="1:16" ht="15.75" thickTop="1" x14ac:dyDescent="0.25">
      <c r="A178" s="17">
        <v>1</v>
      </c>
      <c r="B178" s="17" t="s">
        <v>27</v>
      </c>
      <c r="C178" s="17"/>
      <c r="D178" s="17"/>
      <c r="E178" s="17">
        <v>1</v>
      </c>
      <c r="F178" s="17" t="s">
        <v>50</v>
      </c>
      <c r="G178" s="17">
        <v>1</v>
      </c>
      <c r="H178" s="17" t="s">
        <v>26</v>
      </c>
      <c r="I178" s="2">
        <v>23.4</v>
      </c>
      <c r="J178" s="2">
        <v>57</v>
      </c>
      <c r="K178" s="2">
        <v>114</v>
      </c>
      <c r="L178" s="25"/>
      <c r="M178" s="29" t="s">
        <v>35</v>
      </c>
      <c r="N178" s="29">
        <f>(G178 * IFERROR(VLOOKUP(H178,PostWorkoutTable[],2,FALSE),0)) + (G179 * IFERROR(VLOOKUP(H179,PostWorkoutTable[],2,FALSE),0)) + (G180 * IFERROR(VLOOKUP(H180,PostWorkoutTable[],2,FALSE),0)) + (G181 * IFERROR(VLOOKUP(H181,PostWorkoutTable[],2,FALSE),0))</f>
        <v>20</v>
      </c>
      <c r="O178" s="29">
        <f>(G178 * IFERROR(VLOOKUP(H178,PostWorkoutTable[],3,FALSE),0)) + (G179 * IFERROR(VLOOKUP(H179,PostWorkoutTable[],3,FALSE),0)) + (G180 * IFERROR(VLOOKUP(H180,PostWorkoutTable[],3,FALSE),0)) + (G181 * IFERROR(VLOOKUP(H181,PostWorkoutTable[],3,FALSE),0))</f>
        <v>9</v>
      </c>
      <c r="P178" s="29">
        <f>(G178 * IFERROR(VLOOKUP(H178,PostWorkoutTable[],4,FALSE),0)) + (G179 * IFERROR(VLOOKUP(H179,PostWorkoutTable[],4,FALSE),0)) + (G180 * IFERROR(VLOOKUP(H180,PostWorkoutTable[],4,FALSE),0)) + (G181 * IFERROR(VLOOKUP(H181,PostWorkoutTable[],4,FALSE),0))</f>
        <v>30</v>
      </c>
    </row>
    <row r="179" spans="1:16" x14ac:dyDescent="0.25">
      <c r="A179" s="17">
        <v>1</v>
      </c>
      <c r="B179" s="17" t="s">
        <v>26</v>
      </c>
      <c r="C179" s="17"/>
      <c r="D179" s="17"/>
      <c r="E179" s="17">
        <v>1</v>
      </c>
      <c r="F179" s="17" t="s">
        <v>67</v>
      </c>
      <c r="G179" s="17"/>
      <c r="H179" s="17"/>
      <c r="I179" s="2"/>
      <c r="J179" s="2"/>
      <c r="K179" s="2"/>
      <c r="L179" s="25"/>
      <c r="M179" s="29" t="s">
        <v>21</v>
      </c>
      <c r="N179" s="29">
        <f xml:space="preserve"> SUM(I178:I181)</f>
        <v>23.4</v>
      </c>
      <c r="O179" s="29">
        <f>SUM(J178:J181)</f>
        <v>57</v>
      </c>
      <c r="P179" s="29">
        <f>SUM(K178:K181)</f>
        <v>114</v>
      </c>
    </row>
    <row r="180" spans="1:16" x14ac:dyDescent="0.25">
      <c r="A180" s="17"/>
      <c r="B180" s="17"/>
      <c r="C180" s="17"/>
      <c r="D180" s="17"/>
      <c r="E180" s="17"/>
      <c r="F180" s="17"/>
      <c r="G180" s="17"/>
      <c r="H180" s="17"/>
      <c r="I180" s="2"/>
      <c r="J180" s="2"/>
      <c r="K180" s="2"/>
      <c r="L180" s="25"/>
      <c r="M180" s="29" t="s">
        <v>38</v>
      </c>
      <c r="N180" s="29">
        <f>SUM(N175:N179)</f>
        <v>105</v>
      </c>
      <c r="O180" s="29">
        <f>SUM(O175:O179)</f>
        <v>115.5</v>
      </c>
      <c r="P180" s="29">
        <f>SUM(P175:P179)</f>
        <v>238.3</v>
      </c>
    </row>
    <row r="181" spans="1:16" x14ac:dyDescent="0.25">
      <c r="A181" s="17"/>
      <c r="B181" s="17"/>
      <c r="C181" s="17"/>
      <c r="D181" s="17"/>
      <c r="E181" s="17"/>
      <c r="F181" s="17"/>
      <c r="G181" s="17"/>
      <c r="H181" s="17"/>
      <c r="I181" s="2"/>
      <c r="J181" s="2"/>
      <c r="K181" s="2"/>
      <c r="L181" s="25"/>
      <c r="M181" s="25"/>
      <c r="N181" s="25"/>
      <c r="O181" s="25"/>
      <c r="P181" s="25"/>
    </row>
    <row r="182" spans="1:16" x14ac:dyDescent="0.25">
      <c r="A182" s="25"/>
      <c r="B182" s="25"/>
      <c r="C182" s="25"/>
      <c r="D182" s="25"/>
      <c r="E182" s="25"/>
      <c r="F182" s="25"/>
      <c r="G182" s="25"/>
      <c r="H182" s="25"/>
      <c r="I182" s="25"/>
      <c r="J182" s="25"/>
      <c r="K182" s="25"/>
      <c r="L182" s="25"/>
      <c r="M182" s="25"/>
      <c r="N182" s="25"/>
      <c r="O182" s="25"/>
      <c r="P182" s="25"/>
    </row>
    <row r="183" spans="1:16" x14ac:dyDescent="0.25">
      <c r="A183" s="25"/>
      <c r="B183" s="25"/>
      <c r="C183" s="25"/>
      <c r="D183" s="25"/>
      <c r="E183" s="25"/>
      <c r="F183" s="25"/>
      <c r="G183" s="25"/>
      <c r="H183" s="25"/>
      <c r="I183" s="25"/>
      <c r="J183" s="25"/>
      <c r="K183" s="25"/>
      <c r="L183" s="25"/>
      <c r="M183" s="25"/>
      <c r="N183" s="25"/>
      <c r="O183" s="25"/>
      <c r="P183" s="25"/>
    </row>
    <row r="184" spans="1:16" x14ac:dyDescent="0.25">
      <c r="A184" s="25"/>
      <c r="B184" s="25"/>
      <c r="C184" s="25"/>
      <c r="D184" s="25"/>
      <c r="E184" s="25"/>
      <c r="F184" s="25"/>
      <c r="G184" s="25"/>
      <c r="H184" s="25"/>
      <c r="I184" s="25"/>
      <c r="J184" s="25"/>
      <c r="K184" s="25"/>
      <c r="L184" s="25"/>
      <c r="M184" s="25"/>
      <c r="N184" s="25"/>
      <c r="O184" s="25"/>
      <c r="P184" s="25"/>
    </row>
    <row r="185" spans="1:16" x14ac:dyDescent="0.25">
      <c r="A185" s="25"/>
      <c r="B185" s="25"/>
      <c r="C185" s="25"/>
      <c r="D185" s="25"/>
      <c r="E185" s="25"/>
      <c r="F185" s="25"/>
      <c r="G185" s="25"/>
      <c r="H185" s="25"/>
      <c r="I185" s="25"/>
      <c r="J185" s="25"/>
      <c r="K185" s="25"/>
      <c r="L185" s="25"/>
      <c r="M185" s="25"/>
      <c r="N185" s="25"/>
      <c r="O185" s="25"/>
      <c r="P185" s="25"/>
    </row>
    <row r="186" spans="1:16" x14ac:dyDescent="0.25">
      <c r="A186" s="31"/>
      <c r="B186" s="31"/>
      <c r="C186" s="31"/>
      <c r="D186" s="31"/>
      <c r="E186" s="31"/>
      <c r="F186" s="31"/>
      <c r="G186" s="31"/>
      <c r="H186" s="31"/>
      <c r="I186" s="31"/>
      <c r="J186" s="31"/>
      <c r="K186" s="31"/>
      <c r="L186" s="31"/>
      <c r="M186" s="31"/>
      <c r="N186" s="31"/>
      <c r="O186" s="31"/>
      <c r="P186" s="31"/>
    </row>
    <row r="187" spans="1:16" x14ac:dyDescent="0.25">
      <c r="A187" s="31"/>
      <c r="B187" s="31"/>
      <c r="C187" s="31"/>
      <c r="D187" s="31"/>
      <c r="E187" s="31"/>
      <c r="F187" s="31"/>
      <c r="G187" s="31"/>
      <c r="H187" s="31"/>
      <c r="I187" s="31"/>
      <c r="J187" s="31"/>
      <c r="K187" s="31"/>
      <c r="L187" s="31"/>
      <c r="M187" s="31"/>
      <c r="N187" s="31"/>
      <c r="O187" s="31"/>
      <c r="P187" s="31"/>
    </row>
    <row r="188" spans="1:16" x14ac:dyDescent="0.25">
      <c r="A188" s="31"/>
      <c r="B188" s="31"/>
      <c r="C188" s="31"/>
      <c r="D188" s="31"/>
      <c r="E188" s="31"/>
      <c r="F188" s="31"/>
      <c r="G188" s="31"/>
      <c r="H188" s="31"/>
      <c r="I188" s="31"/>
      <c r="J188" s="31"/>
      <c r="K188" s="31"/>
      <c r="L188" s="31"/>
      <c r="M188" s="31"/>
      <c r="N188" s="31"/>
      <c r="O188" s="31"/>
      <c r="P188" s="31"/>
    </row>
    <row r="189" spans="1:16" x14ac:dyDescent="0.25">
      <c r="A189" s="31"/>
      <c r="B189" s="31"/>
      <c r="C189" s="31"/>
      <c r="D189" s="31"/>
      <c r="E189" s="31"/>
      <c r="F189" s="31"/>
      <c r="G189" s="31"/>
      <c r="H189" s="31"/>
      <c r="I189" s="31"/>
      <c r="J189" s="31"/>
      <c r="K189" s="31"/>
      <c r="L189" s="31"/>
      <c r="M189" s="31"/>
      <c r="N189" s="31"/>
      <c r="O189" s="31"/>
      <c r="P189" s="31"/>
    </row>
    <row r="190" spans="1:16" x14ac:dyDescent="0.25">
      <c r="A190" s="31"/>
      <c r="B190" s="31"/>
      <c r="C190" s="31"/>
      <c r="D190" s="31"/>
      <c r="E190" s="31"/>
      <c r="F190" s="31"/>
      <c r="G190" s="31"/>
      <c r="H190" s="31"/>
      <c r="I190" s="31"/>
      <c r="J190" s="31"/>
      <c r="K190" s="31"/>
      <c r="L190" s="31"/>
      <c r="M190" s="31"/>
      <c r="N190" s="31"/>
      <c r="O190" s="31"/>
      <c r="P190" s="31"/>
    </row>
    <row r="191" spans="1:16" x14ac:dyDescent="0.25">
      <c r="A191" s="31"/>
      <c r="B191" s="31"/>
      <c r="C191" s="31"/>
      <c r="D191" s="31"/>
      <c r="E191" s="31"/>
      <c r="F191" s="31"/>
      <c r="G191" s="31"/>
      <c r="H191" s="31"/>
      <c r="I191" s="31"/>
      <c r="J191" s="31"/>
      <c r="K191" s="31"/>
      <c r="L191" s="31"/>
      <c r="M191" s="31"/>
      <c r="N191" s="31"/>
      <c r="O191" s="31"/>
      <c r="P191" s="31"/>
    </row>
    <row r="192" spans="1:16" x14ac:dyDescent="0.25">
      <c r="A192" s="31"/>
      <c r="B192" s="31"/>
      <c r="C192" s="31"/>
      <c r="D192" s="31"/>
      <c r="E192" s="31"/>
      <c r="F192" s="31"/>
      <c r="G192" s="31"/>
      <c r="H192" s="31"/>
      <c r="I192" s="31"/>
      <c r="J192" s="31"/>
      <c r="K192" s="31"/>
      <c r="L192" s="31"/>
      <c r="M192" s="31"/>
      <c r="N192" s="31"/>
      <c r="O192" s="31"/>
      <c r="P192" s="31"/>
    </row>
    <row r="193" spans="1:16" x14ac:dyDescent="0.25">
      <c r="A193" s="31"/>
      <c r="B193" s="31"/>
      <c r="C193" s="31"/>
      <c r="D193" s="31"/>
      <c r="E193" s="31"/>
      <c r="F193" s="31"/>
      <c r="G193" s="31"/>
      <c r="H193" s="31"/>
      <c r="I193" s="31"/>
      <c r="J193" s="31"/>
      <c r="K193" s="31"/>
      <c r="L193" s="31"/>
      <c r="M193" s="31"/>
      <c r="N193" s="31"/>
      <c r="O193" s="31"/>
      <c r="P193" s="31"/>
    </row>
    <row r="194" spans="1:16" x14ac:dyDescent="0.25">
      <c r="A194" s="31"/>
      <c r="B194" s="31"/>
      <c r="C194" s="31"/>
      <c r="D194" s="31"/>
      <c r="E194" s="31"/>
      <c r="F194" s="31"/>
      <c r="G194" s="31"/>
      <c r="H194" s="31"/>
      <c r="I194" s="31"/>
      <c r="J194" s="31"/>
      <c r="K194" s="31"/>
      <c r="L194" s="31"/>
      <c r="M194" s="31"/>
      <c r="N194" s="31"/>
      <c r="O194" s="31"/>
      <c r="P194" s="31"/>
    </row>
    <row r="1048576" spans="1:3" x14ac:dyDescent="0.25">
      <c r="A1048576">
        <f>SUM(A8:A1048575)</f>
        <v>1478567</v>
      </c>
      <c r="C1048576">
        <f>SUM(C1:C1048575)</f>
        <v>32.229999999999997</v>
      </c>
    </row>
  </sheetData>
  <dataValidations count="6">
    <dataValidation type="list" allowBlank="1" showInputMessage="1" showErrorMessage="1" sqref="A35 A15 A25 A5 A75 A55 A65 A45 A115 A95 A105 A85 A155 A135 A145 A125 A165 A175 A205" xr:uid="{AB9D100D-DD48-4D07-9F99-04C6D2A8FBA6}">
      <formula1 xml:space="preserve"> OverviewWeekRange</formula1>
    </dataValidation>
    <dataValidation type="list" allowBlank="1" showInputMessage="1" showErrorMessage="1" sqref="B8:B11 B18:B21 B28:B31 B38:B41 B48:B51 B58:B61 B68:B71 B78:B81 B88:B91 B98:B101 B108:B111 B118:B121 B128:B131 B138:B141 B148:B151 B158:B161 B168:B171 B178:B181 B208:B211 B198:B201" xr:uid="{4FD6B88A-D934-4AFC-BF90-7B1665A2B490}">
      <formula1>BreakfastMealRange</formula1>
    </dataValidation>
    <dataValidation type="list" allowBlank="1" showInputMessage="1" showErrorMessage="1" sqref="D8:D11 D18:D21 D28:D31 D38:D41 D48:D51 D58:D61 D68:D71 D78:D81 D88:D91 D98:D101 D108:D111 D118:D121 D128:D131 D138:D141 D148:D151 D158:D161 D168:D171 D178:D181 D208:D211 D198:D201" xr:uid="{9027F8C7-0834-4BC0-8883-33F1FEA85981}">
      <formula1>LunchMealRange</formula1>
    </dataValidation>
    <dataValidation type="list" allowBlank="1" showInputMessage="1" showErrorMessage="1" sqref="F8:F11 F18:F21 F28:F31 F38:F41 F48:F51 F58:F61 F68:F71 F78:F81 F88:F91 F198:F201 F108:F111 F118:F121 F128:F131 F138:F141 F148:F151 F158:F161 F168:F171 F178:F181 F208:F211 F98:F101" xr:uid="{85E201F1-B8E1-472D-8D09-5A89A118BC9C}">
      <formula1>DinnerMealRange</formula1>
    </dataValidation>
    <dataValidation type="list" allowBlank="1" showInputMessage="1" showErrorMessage="1" sqref="H8:H11 H18:H21 H28:H31 H38:H41 H48:H51 H58:H61 H68:H71 H78:H81 H88:H91 H98:H101 H108:H111 H118:H121 H128:H131 H138:H141 H148:H151 H158:H161 H168:H171 H178:H181 H208 H198" xr:uid="{0ABC6F39-9AD1-4FDE-8C4B-95767315BA66}">
      <formula1>PostWorkoutMealRange</formula1>
    </dataValidation>
    <dataValidation type="list" allowBlank="1" showInputMessage="1" showErrorMessage="1" sqref="C18:C21 C8:C11 E8:E11 G8:G11 E18:E21 G18:G21 A18:A21 A8:A11 C28:C31 E28:E31 G28:G31 A28:A31 C38:C41 E38:E41 G38:G41 A38:A41 C58:C61 C48:C51 E48:E51 G48:G51 E58:E61 G58:G61 A58:A61 A48:A51 C68:C71 E68:E71 G68:G71 A68:A71 C78:C81 E78:E81 G78:G81 A78:A81 C98:C101 C88:C91 E88:E91 G88:G91 A198:A201 G98:G101 A98:A101 A88:A91 C108:C111 E108:E111 G108:G111 A108:A111 C118:C121 E118:E121 G118:G121 A118:A121 C138:C141 C128:C131 E128:E131 G128:G131 E138:E141 G138:G141 A138:A141 A128:A131 C148:C151 E148:E151 G148:G151 A148:A151 C158:C161 E158:E161 G158:G161 A158:A161 C178:C181 C168:C171 E168:E171 G168:G171 E178:E181 G178:G181 A178:A181 A168:A171 C208:C211 E208:E211 G208:G211 A208:A211 C198:C201 E198:E201 G198:G201 E98:E101" xr:uid="{78E86E34-8088-4524-98C4-95310D5A16A3}">
      <formula1 xml:space="preserve"> AmountRange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13489-F4CD-472F-A144-21F58D290E46}">
  <sheetPr codeName="Sheet3"/>
  <dimension ref="A1:P1048576"/>
  <sheetViews>
    <sheetView topLeftCell="C1" zoomScaleNormal="100" workbookViewId="0">
      <selection activeCell="N28" sqref="N28"/>
    </sheetView>
  </sheetViews>
  <sheetFormatPr defaultRowHeight="15" x14ac:dyDescent="0.25"/>
  <cols>
    <col min="1" max="8" width="25.7109375" customWidth="1"/>
    <col min="9" max="11" width="18.7109375" customWidth="1"/>
    <col min="12" max="12" width="9.140625" customWidth="1"/>
    <col min="13" max="13" width="13.5703125" customWidth="1"/>
    <col min="14" max="14" width="10.7109375" customWidth="1"/>
    <col min="15" max="15" width="9.7109375" customWidth="1"/>
  </cols>
  <sheetData>
    <row r="1" spans="1:16" ht="28.5" x14ac:dyDescent="0.45">
      <c r="A1" s="20" t="s">
        <v>69</v>
      </c>
      <c r="B1" s="13"/>
      <c r="C1" s="13"/>
      <c r="D1" s="13"/>
      <c r="E1" s="13"/>
      <c r="F1" s="13"/>
      <c r="G1" s="13"/>
      <c r="H1" s="13"/>
      <c r="I1" s="13"/>
      <c r="J1" s="13"/>
      <c r="K1" s="13"/>
      <c r="L1" s="13"/>
      <c r="M1" s="13"/>
      <c r="N1" s="13"/>
      <c r="O1" s="13"/>
      <c r="P1" s="13"/>
    </row>
    <row r="2" spans="1:16" x14ac:dyDescent="0.25">
      <c r="A2" s="13"/>
      <c r="B2" s="13"/>
      <c r="C2" s="13"/>
      <c r="D2" s="13"/>
      <c r="E2" s="13"/>
      <c r="F2" s="13"/>
      <c r="G2" s="13"/>
      <c r="H2" s="13"/>
      <c r="I2" s="13"/>
      <c r="J2" s="13"/>
      <c r="K2" s="13"/>
      <c r="L2" s="13"/>
      <c r="M2" s="13"/>
      <c r="N2" s="13"/>
      <c r="O2" s="13"/>
      <c r="P2" s="13"/>
    </row>
    <row r="3" spans="1:16" ht="23.25" x14ac:dyDescent="0.35">
      <c r="A3" s="21">
        <v>43497</v>
      </c>
      <c r="B3" s="13"/>
      <c r="C3" s="13"/>
      <c r="D3" s="13"/>
      <c r="E3" s="13"/>
      <c r="F3" s="13"/>
      <c r="G3" s="13"/>
      <c r="H3" s="13"/>
      <c r="I3" s="13"/>
      <c r="J3" s="13"/>
      <c r="K3" s="13"/>
      <c r="L3" s="13"/>
      <c r="M3" s="13"/>
      <c r="N3" s="13"/>
      <c r="O3" s="13"/>
      <c r="P3" s="13"/>
    </row>
    <row r="4" spans="1:16" ht="18" thickBot="1" x14ac:dyDescent="0.35">
      <c r="A4" s="3" t="s">
        <v>48</v>
      </c>
      <c r="B4" s="3" t="s">
        <v>0</v>
      </c>
      <c r="C4" s="3" t="s">
        <v>36</v>
      </c>
      <c r="D4" s="3" t="s">
        <v>8</v>
      </c>
      <c r="E4" s="5" t="s">
        <v>9</v>
      </c>
      <c r="F4" s="5" t="s">
        <v>10</v>
      </c>
      <c r="G4" s="14"/>
      <c r="H4" s="19"/>
      <c r="I4" s="13"/>
      <c r="J4" s="13"/>
      <c r="K4" s="13"/>
      <c r="L4" s="13"/>
      <c r="M4" s="14"/>
      <c r="N4" s="15" t="s">
        <v>8</v>
      </c>
      <c r="O4" s="15" t="s">
        <v>9</v>
      </c>
      <c r="P4" s="15" t="s">
        <v>10</v>
      </c>
    </row>
    <row r="5" spans="1:16" ht="15.75" thickTop="1" x14ac:dyDescent="0.25">
      <c r="A5" s="18">
        <v>43493</v>
      </c>
      <c r="B5" s="16">
        <f>IFERROR(VLOOKUP(A5,OverviewTable[],2,FALSE),"?")</f>
        <v>126.2</v>
      </c>
      <c r="C5" s="16" t="str">
        <f>((N10 * 4) + (O10 * 9) + (P10 * 4))&amp;"/"&amp;IFERROR(VLOOKUP(A5,OverviewTable[],11,FALSE),"?")</f>
        <v>1833.5/2269.2</v>
      </c>
      <c r="D5" s="16" t="str">
        <f>N10&amp;"/"&amp;IFERROR(VLOOKUP(A5,OverviewTable[],12,FALSE),"?")</f>
        <v>112.2/126</v>
      </c>
      <c r="E5" s="16" t="str">
        <f>O10&amp;"/"&amp;IFERROR(VLOOKUP(A5,OverviewTable[],13,FALSE),"?")</f>
        <v>75.9/63</v>
      </c>
      <c r="F5" s="16" t="str">
        <f>P10&amp;"/"&amp;IFERROR(VLOOKUP(A5,OverviewTable[],14,FALSE),"?")</f>
        <v>175.4/300</v>
      </c>
      <c r="G5" s="19"/>
      <c r="H5" s="19"/>
      <c r="I5" s="13"/>
      <c r="J5" s="13"/>
      <c r="K5" s="13"/>
      <c r="L5" s="13"/>
      <c r="M5" s="15" t="s">
        <v>6</v>
      </c>
      <c r="N5" s="15">
        <f>(A8 * IFERROR(VLOOKUP(B8,BreakfastTable[],2,FALSE),0)) + (A9 * IFERROR(VLOOKUP(B9,BreakfastTable[],2,FALSE),0)) + (A10 * IFERROR(VLOOKUP(B10,BreakfastTable[],2,FALSE),0)) + (A11 * IFERROR(VLOOKUP(B11,BreakfastTable[],2,FALSE),0))</f>
        <v>32.200000000000003</v>
      </c>
      <c r="O5" s="15">
        <f>(A8 * IFERROR(VLOOKUP(B8,BreakfastTable[],3,FALSE),0)) + (A9 * IFERROR(VLOOKUP(B9,BreakfastTable[],3,FALSE),0)) + (A10 * IFERROR(VLOOKUP(B10,BreakfastTable[],3,FALSE),0)) + (A11 * IFERROR(VLOOKUP(B11,BreakfastTable[],3,FALSE),0))</f>
        <v>14.9</v>
      </c>
      <c r="P5" s="15">
        <f>(A8 * IFERROR(VLOOKUP(B8,BreakfastTable[],4,FALSE),0)) + (A9 * IFERROR(VLOOKUP(B9,BreakfastTable[],4,FALSE),0)) + (A10 * IFERROR(VLOOKUP(B10,BreakfastTable[],4,FALSE),0)) + (A11 * IFERROR(VLOOKUP(B11,BreakfastTable[],4,FALSE),0))</f>
        <v>50.4</v>
      </c>
    </row>
    <row r="6" spans="1:16" x14ac:dyDescent="0.25">
      <c r="A6" s="17"/>
      <c r="B6" s="17"/>
      <c r="C6" s="17"/>
      <c r="D6" s="17"/>
      <c r="E6" s="17"/>
      <c r="F6" s="17"/>
      <c r="G6" s="19"/>
      <c r="H6" s="19"/>
      <c r="I6" s="13"/>
      <c r="J6" s="13"/>
      <c r="K6" s="13"/>
      <c r="L6" s="13"/>
      <c r="M6" s="15" t="s">
        <v>11</v>
      </c>
      <c r="N6" s="15">
        <f>(C8 * IFERROR(VLOOKUP(D8,LunchTable[],2,FALSE),0)) + (C9 * IFERROR(VLOOKUP(D9,LunchTable[],2,FALSE),0)) + (C10 * IFERROR(VLOOKUP(D10,LunchTable[],2,FALSE),0)) + (C11 * IFERROR(VLOOKUP(D11,LunchTable[],2,FALSE),0))</f>
        <v>45</v>
      </c>
      <c r="O6" s="15">
        <f>(C8 * IFERROR(VLOOKUP(D8,LunchTable[],3,FALSE),0)) + (C9 * IFERROR(VLOOKUP(D9,LunchTable[],3,FALSE),0)) + (C10 * IFERROR(VLOOKUP(D10,LunchTable[],3,FALSE),0)) + (C11 * IFERROR(VLOOKUP(D11,LunchTable[],3,FALSE),0))</f>
        <v>11</v>
      </c>
      <c r="P6" s="15">
        <f>(C8 * IFERROR(VLOOKUP(D8,LunchTable[],4,FALSE),0)) + (C9 * IFERROR(VLOOKUP(D9,LunchTable[],4,FALSE),0)) + (C10 * IFERROR(VLOOKUP(D10,LunchTable[],4,FALSE),0)) + (C11 * IFERROR(VLOOKUP(D11,LunchTable[],4,FALSE),0))</f>
        <v>65</v>
      </c>
    </row>
    <row r="7" spans="1:16" ht="18" thickBot="1" x14ac:dyDescent="0.35">
      <c r="A7" s="10" t="s">
        <v>34</v>
      </c>
      <c r="B7" s="11" t="s">
        <v>6</v>
      </c>
      <c r="C7" s="10" t="s">
        <v>34</v>
      </c>
      <c r="D7" s="11" t="s">
        <v>11</v>
      </c>
      <c r="E7" s="10" t="s">
        <v>34</v>
      </c>
      <c r="F7" s="11" t="s">
        <v>12</v>
      </c>
      <c r="G7" s="10" t="s">
        <v>34</v>
      </c>
      <c r="H7" s="12" t="s">
        <v>35</v>
      </c>
      <c r="I7" s="5" t="s">
        <v>41</v>
      </c>
      <c r="J7" s="5" t="s">
        <v>42</v>
      </c>
      <c r="K7" s="5" t="s">
        <v>43</v>
      </c>
      <c r="L7" s="13"/>
      <c r="M7" s="15" t="s">
        <v>12</v>
      </c>
      <c r="N7" s="15">
        <f>(E8 * IFERROR(VLOOKUP(F8,DinnerTable[],2,FALSE),0)) + (E9 * IFERROR(VLOOKUP(F9,DinnerTable[],2,FALSE),0)) + (E10 * IFERROR(VLOOKUP(F10,DinnerTable[],2,FALSE),0)) + (E11 * IFERROR(VLOOKUP(F11,DinnerTable[],2,FALSE),0))</f>
        <v>35</v>
      </c>
      <c r="O7" s="15">
        <f>(E8 * IFERROR(VLOOKUP(F8,DinnerTable[],3,FALSE),0)) + (E9 * IFERROR(VLOOKUP(F9,DinnerTable[],3,FALSE),0)) + (E10 * IFERROR(VLOOKUP(F10,DinnerTable[],3,FALSE),0)) + (E11 * IFERROR(VLOOKUP(F11,DinnerTable[],3,FALSE),0))</f>
        <v>50</v>
      </c>
      <c r="P7" s="15">
        <f>(E8 * IFERROR(VLOOKUP(F8,DinnerTable[],4,FALSE),0)) + (E9 * IFERROR(VLOOKUP(F9,DinnerTable[],4,FALSE),0)) + (E10 * IFERROR(VLOOKUP(F10,DinnerTable[],4,FALSE),0)) + (E11 * IFERROR(VLOOKUP(F11,DinnerTable[],4,FALSE),0))</f>
        <v>60</v>
      </c>
    </row>
    <row r="8" spans="1:16" ht="15.75" thickTop="1" x14ac:dyDescent="0.25">
      <c r="A8" s="17">
        <v>1</v>
      </c>
      <c r="B8" s="17" t="s">
        <v>96</v>
      </c>
      <c r="C8" s="17">
        <v>0.5</v>
      </c>
      <c r="D8" s="17" t="s">
        <v>51</v>
      </c>
      <c r="E8" s="17">
        <v>0.5</v>
      </c>
      <c r="F8" s="17" t="s">
        <v>28</v>
      </c>
      <c r="G8" s="17"/>
      <c r="H8" s="17"/>
      <c r="I8" s="2"/>
      <c r="J8" s="2"/>
      <c r="K8" s="2"/>
      <c r="L8" s="13"/>
      <c r="M8" s="15" t="s">
        <v>35</v>
      </c>
      <c r="N8" s="15">
        <f>(G8 * IFERROR(VLOOKUP(H8,PostWorkoutTable[],2,FALSE),0)) + (G9 * IFERROR(VLOOKUP(H9,PostWorkoutTable[],2,FALSE),0)) + (G10 * IFERROR(VLOOKUP(H10,PostWorkoutTable[],2,FALSE),0)) + (G11 * IFERROR(VLOOKUP(H11,PostWorkoutTable[],2,FALSE),0))</f>
        <v>0</v>
      </c>
      <c r="O8" s="15">
        <f>(G8 * IFERROR(VLOOKUP(H8,PostWorkoutTable[],3,FALSE),0)) + (G9 * IFERROR(VLOOKUP(H9,PostWorkoutTable[],3,FALSE),0)) + (G10 * IFERROR(VLOOKUP(H10,PostWorkoutTable[],3,FALSE),0)) + (G11 * IFERROR(VLOOKUP(H11,PostWorkoutTable[],3,FALSE),0))</f>
        <v>0</v>
      </c>
      <c r="P8" s="15">
        <f>(G8 * IFERROR(VLOOKUP(H8,PostWorkoutTable[],4,FALSE),0)) + (G9 * IFERROR(VLOOKUP(H9,PostWorkoutTable[],4,FALSE),0)) + (G10 * IFERROR(VLOOKUP(H10,PostWorkoutTable[],4,FALSE),0)) + (G11 * IFERROR(VLOOKUP(H11,PostWorkoutTable[],4,FALSE),0))</f>
        <v>0</v>
      </c>
    </row>
    <row r="9" spans="1:16" x14ac:dyDescent="0.25">
      <c r="A9" s="17"/>
      <c r="B9" s="17"/>
      <c r="C9" s="17">
        <v>1</v>
      </c>
      <c r="D9" s="17" t="s">
        <v>23</v>
      </c>
      <c r="E9" s="17"/>
      <c r="F9" s="17"/>
      <c r="G9" s="17"/>
      <c r="H9" s="17"/>
      <c r="I9" s="2"/>
      <c r="J9" s="2"/>
      <c r="K9" s="2"/>
      <c r="L9" s="13"/>
      <c r="M9" s="15" t="s">
        <v>21</v>
      </c>
      <c r="N9" s="15">
        <f xml:space="preserve"> SUM(I8:I11)</f>
        <v>0</v>
      </c>
      <c r="O9" s="15">
        <f>SUM(J8:J11)</f>
        <v>0</v>
      </c>
      <c r="P9" s="15">
        <f>SUM(K8:K11)</f>
        <v>0</v>
      </c>
    </row>
    <row r="10" spans="1:16" x14ac:dyDescent="0.25">
      <c r="A10" s="17"/>
      <c r="B10" s="17"/>
      <c r="C10" s="17"/>
      <c r="D10" s="17"/>
      <c r="E10" s="17"/>
      <c r="F10" s="17"/>
      <c r="G10" s="17"/>
      <c r="H10" s="17"/>
      <c r="I10" s="2"/>
      <c r="J10" s="2"/>
      <c r="K10" s="2"/>
      <c r="L10" s="13"/>
      <c r="M10" s="15" t="s">
        <v>38</v>
      </c>
      <c r="N10" s="15">
        <f>SUM(N5:N9)</f>
        <v>112.2</v>
      </c>
      <c r="O10" s="15">
        <f>SUM(O5:O9)</f>
        <v>75.900000000000006</v>
      </c>
      <c r="P10" s="15">
        <f>SUM(P5:P9)</f>
        <v>175.4</v>
      </c>
    </row>
    <row r="11" spans="1:16" x14ac:dyDescent="0.25">
      <c r="A11" s="17"/>
      <c r="B11" s="17"/>
      <c r="C11" s="17"/>
      <c r="D11" s="17"/>
      <c r="E11" s="17"/>
      <c r="F11" s="17"/>
      <c r="G11" s="17"/>
      <c r="H11" s="17"/>
      <c r="I11" s="2"/>
      <c r="J11" s="2"/>
      <c r="K11" s="2"/>
      <c r="L11" s="13"/>
      <c r="M11" s="13"/>
      <c r="N11" s="13"/>
      <c r="O11" s="13"/>
      <c r="P11" s="13"/>
    </row>
    <row r="12" spans="1:16" x14ac:dyDescent="0.25">
      <c r="A12" s="13"/>
      <c r="B12" s="13"/>
      <c r="C12" s="13"/>
      <c r="D12" s="13"/>
      <c r="E12" s="13"/>
      <c r="F12" s="13"/>
      <c r="G12" s="13"/>
      <c r="H12" s="13"/>
      <c r="I12" s="13"/>
      <c r="J12" s="13"/>
      <c r="K12" s="13"/>
      <c r="L12" s="13"/>
      <c r="M12" s="13"/>
      <c r="N12" s="13"/>
      <c r="O12" s="13"/>
      <c r="P12" s="13"/>
    </row>
    <row r="13" spans="1:16" ht="23.25" x14ac:dyDescent="0.35">
      <c r="A13" s="21">
        <v>43498</v>
      </c>
      <c r="B13" s="13"/>
      <c r="C13" s="13"/>
      <c r="D13" s="13"/>
      <c r="E13" s="13"/>
      <c r="F13" s="13"/>
      <c r="G13" s="13"/>
      <c r="H13" s="13"/>
      <c r="I13" s="13"/>
      <c r="J13" s="13"/>
      <c r="K13" s="13"/>
      <c r="L13" s="13"/>
      <c r="M13" s="13"/>
      <c r="N13" s="13"/>
      <c r="O13" s="13"/>
      <c r="P13" s="13"/>
    </row>
    <row r="14" spans="1:16" ht="18" thickBot="1" x14ac:dyDescent="0.35">
      <c r="A14" s="3" t="s">
        <v>48</v>
      </c>
      <c r="B14" s="3" t="s">
        <v>0</v>
      </c>
      <c r="C14" s="3" t="s">
        <v>36</v>
      </c>
      <c r="D14" s="3" t="s">
        <v>8</v>
      </c>
      <c r="E14" s="5" t="s">
        <v>9</v>
      </c>
      <c r="F14" s="5" t="s">
        <v>10</v>
      </c>
      <c r="G14" s="14"/>
      <c r="H14" s="19"/>
      <c r="I14" s="13"/>
      <c r="J14" s="13"/>
      <c r="K14" s="13"/>
      <c r="L14" s="13"/>
      <c r="M14" s="14"/>
      <c r="N14" s="15" t="s">
        <v>8</v>
      </c>
      <c r="O14" s="15" t="s">
        <v>9</v>
      </c>
      <c r="P14" s="15" t="s">
        <v>10</v>
      </c>
    </row>
    <row r="15" spans="1:16" ht="15.75" thickTop="1" x14ac:dyDescent="0.25">
      <c r="A15" s="18">
        <v>43493</v>
      </c>
      <c r="B15" s="16">
        <f>IFERROR(VLOOKUP(A15,OverviewTable[],2,FALSE),"?")</f>
        <v>126.2</v>
      </c>
      <c r="C15" s="16" t="str">
        <f>((N20 * 4) + (O20 * 9) + (P20 * 4))&amp;"/"&amp;IFERROR(VLOOKUP(A15,OverviewTable[],11,FALSE),"?")</f>
        <v>1563.75/2269.2</v>
      </c>
      <c r="D15" s="16" t="str">
        <f>N20&amp;"/"&amp;IFERROR(VLOOKUP(A15,OverviewTable[],12,FALSE),"?")</f>
        <v>75.5/126</v>
      </c>
      <c r="E15" s="16" t="str">
        <f>O20&amp;"/"&amp;IFERROR(VLOOKUP(A15,OverviewTable[],13,FALSE),"?")</f>
        <v>61.75/63</v>
      </c>
      <c r="F15" s="16" t="str">
        <f>P20&amp;"/"&amp;IFERROR(VLOOKUP(A15,OverviewTable[],14,FALSE),"?")</f>
        <v>176.5/300</v>
      </c>
      <c r="G15" s="19"/>
      <c r="H15" s="19"/>
      <c r="I15" s="13"/>
      <c r="J15" s="13"/>
      <c r="K15" s="13"/>
      <c r="L15" s="13"/>
      <c r="M15" s="15" t="s">
        <v>6</v>
      </c>
      <c r="N15" s="15">
        <f>(A18 * IFERROR(VLOOKUP(B18,BreakfastTable[],2,FALSE),0)) + (A19 * IFERROR(VLOOKUP(B19,BreakfastTable[],2,FALSE),0)) + (A20 * IFERROR(VLOOKUP(B20,BreakfastTable[],2,FALSE),0)) + (A21 * IFERROR(VLOOKUP(B21,BreakfastTable[],2,FALSE),0))</f>
        <v>0</v>
      </c>
      <c r="O15" s="15">
        <f>(A18 * IFERROR(VLOOKUP(B18,BreakfastTable[],3,FALSE),0)) + (A19 * IFERROR(VLOOKUP(B19,BreakfastTable[],3,FALSE),0)) + (A20 * IFERROR(VLOOKUP(B20,BreakfastTable[],3,FALSE),0)) + (A21 * IFERROR(VLOOKUP(B21,BreakfastTable[],3,FALSE),0))</f>
        <v>0</v>
      </c>
      <c r="P15" s="15">
        <f>(A18 * IFERROR(VLOOKUP(B18,BreakfastTable[],4,FALSE),0)) + (A19 * IFERROR(VLOOKUP(B19,BreakfastTable[],4,FALSE),0)) + (A20 * IFERROR(VLOOKUP(B20,BreakfastTable[],4,FALSE),0)) + (A21 * IFERROR(VLOOKUP(B21,BreakfastTable[],4,FALSE),0))</f>
        <v>0</v>
      </c>
    </row>
    <row r="16" spans="1:16" x14ac:dyDescent="0.25">
      <c r="A16" s="17"/>
      <c r="B16" s="17"/>
      <c r="C16" s="17"/>
      <c r="D16" s="17"/>
      <c r="E16" s="17"/>
      <c r="F16" s="17"/>
      <c r="G16" s="19"/>
      <c r="H16" s="19"/>
      <c r="I16" s="13"/>
      <c r="J16" s="13"/>
      <c r="K16" s="13"/>
      <c r="L16" s="13"/>
      <c r="M16" s="15" t="s">
        <v>11</v>
      </c>
      <c r="N16" s="15">
        <f>(C18 * IFERROR(VLOOKUP(D18,LunchTable[],2,FALSE),0)) + (C19 * IFERROR(VLOOKUP(D19,LunchTable[],2,FALSE),0)) + (C20 * IFERROR(VLOOKUP(D20,LunchTable[],2,FALSE),0)) + (C21 * IFERROR(VLOOKUP(D21,LunchTable[],2,FALSE),0))</f>
        <v>0</v>
      </c>
      <c r="O16" s="15">
        <f>(C18 * IFERROR(VLOOKUP(D18,LunchTable[],3,FALSE),0)) + (C19 * IFERROR(VLOOKUP(D19,LunchTable[],3,FALSE),0)) + (C20 * IFERROR(VLOOKUP(D20,LunchTable[],3,FALSE),0)) + (C21 * IFERROR(VLOOKUP(D21,LunchTable[],3,FALSE),0))</f>
        <v>0</v>
      </c>
      <c r="P16" s="15">
        <f>(C18 * IFERROR(VLOOKUP(D18,LunchTable[],4,FALSE),0)) + (C19 * IFERROR(VLOOKUP(D19,LunchTable[],4,FALSE),0)) + (C20 * IFERROR(VLOOKUP(D20,LunchTable[],4,FALSE),0)) + (C21 * IFERROR(VLOOKUP(D21,LunchTable[],4,FALSE),0))</f>
        <v>0</v>
      </c>
    </row>
    <row r="17" spans="1:16" ht="18" thickBot="1" x14ac:dyDescent="0.35">
      <c r="A17" s="10" t="s">
        <v>34</v>
      </c>
      <c r="B17" s="11" t="s">
        <v>6</v>
      </c>
      <c r="C17" s="10" t="s">
        <v>34</v>
      </c>
      <c r="D17" s="11" t="s">
        <v>11</v>
      </c>
      <c r="E17" s="10" t="s">
        <v>34</v>
      </c>
      <c r="F17" s="11" t="s">
        <v>12</v>
      </c>
      <c r="G17" s="10" t="s">
        <v>34</v>
      </c>
      <c r="H17" s="12" t="s">
        <v>35</v>
      </c>
      <c r="I17" s="5" t="s">
        <v>41</v>
      </c>
      <c r="J17" s="5" t="s">
        <v>42</v>
      </c>
      <c r="K17" s="5" t="s">
        <v>43</v>
      </c>
      <c r="L17" s="13"/>
      <c r="M17" s="15" t="s">
        <v>12</v>
      </c>
      <c r="N17" s="15">
        <f>(E18 * IFERROR(VLOOKUP(F18,DinnerTable[],2,FALSE),0)) + (E19 * IFERROR(VLOOKUP(F19,DinnerTable[],2,FALSE),0)) + (E20 * IFERROR(VLOOKUP(F20,DinnerTable[],2,FALSE),0)) + (E21 * IFERROR(VLOOKUP(F21,DinnerTable[],2,FALSE),0))</f>
        <v>53.5</v>
      </c>
      <c r="O17" s="15">
        <f>(E18 * IFERROR(VLOOKUP(F18,DinnerTable[],3,FALSE),0)) + (E19 * IFERROR(VLOOKUP(F19,DinnerTable[],3,FALSE),0)) + (E20 * IFERROR(VLOOKUP(F20,DinnerTable[],3,FALSE),0)) + (E21 * IFERROR(VLOOKUP(F21,DinnerTable[],3,FALSE),0))</f>
        <v>3.75</v>
      </c>
      <c r="P17" s="15">
        <f>(E18 * IFERROR(VLOOKUP(F18,DinnerTable[],4,FALSE),0)) + (E19 * IFERROR(VLOOKUP(F19,DinnerTable[],4,FALSE),0)) + (E20 * IFERROR(VLOOKUP(F20,DinnerTable[],4,FALSE),0)) + (E21 * IFERROR(VLOOKUP(F21,DinnerTable[],4,FALSE),0))</f>
        <v>72.5</v>
      </c>
    </row>
    <row r="18" spans="1:16" ht="15.75" thickTop="1" x14ac:dyDescent="0.25">
      <c r="A18" s="17"/>
      <c r="B18" s="17"/>
      <c r="C18" s="17"/>
      <c r="D18" s="17"/>
      <c r="E18" s="17">
        <v>0.5</v>
      </c>
      <c r="F18" s="17" t="s">
        <v>53</v>
      </c>
      <c r="G18" s="17"/>
      <c r="H18" s="17"/>
      <c r="I18" s="2">
        <v>17</v>
      </c>
      <c r="J18" s="2">
        <v>32</v>
      </c>
      <c r="K18" s="2">
        <v>50</v>
      </c>
      <c r="L18" s="13"/>
      <c r="M18" s="15" t="s">
        <v>35</v>
      </c>
      <c r="N18" s="15">
        <f>(G18 * IFERROR(VLOOKUP(H18,PostWorkoutTable[],2,FALSE),0)) + (G19 * IFERROR(VLOOKUP(H19,PostWorkoutTable[],2,FALSE),0)) + (G20 * IFERROR(VLOOKUP(H20,PostWorkoutTable[],2,FALSE),0)) + (G21 * IFERROR(VLOOKUP(H21,PostWorkoutTable[],2,FALSE),0))</f>
        <v>0</v>
      </c>
      <c r="O18" s="15">
        <f>(G18 * IFERROR(VLOOKUP(H18,PostWorkoutTable[],3,FALSE),0)) + (G19 * IFERROR(VLOOKUP(H19,PostWorkoutTable[],3,FALSE),0)) + (G20 * IFERROR(VLOOKUP(H20,PostWorkoutTable[],3,FALSE),0)) + (G21 * IFERROR(VLOOKUP(H21,PostWorkoutTable[],3,FALSE),0))</f>
        <v>0</v>
      </c>
      <c r="P18" s="15">
        <f>(G18 * IFERROR(VLOOKUP(H18,PostWorkoutTable[],4,FALSE),0)) + (G19 * IFERROR(VLOOKUP(H19,PostWorkoutTable[],4,FALSE),0)) + (G20 * IFERROR(VLOOKUP(H20,PostWorkoutTable[],4,FALSE),0)) + (G21 * IFERROR(VLOOKUP(H21,PostWorkoutTable[],4,FALSE),0))</f>
        <v>0</v>
      </c>
    </row>
    <row r="19" spans="1:16" x14ac:dyDescent="0.25">
      <c r="A19" s="17"/>
      <c r="B19" s="17"/>
      <c r="C19" s="17"/>
      <c r="D19" s="17"/>
      <c r="E19" s="17">
        <v>0.5</v>
      </c>
      <c r="F19" s="17" t="s">
        <v>79</v>
      </c>
      <c r="G19" s="17"/>
      <c r="H19" s="17"/>
      <c r="I19" s="2">
        <v>2</v>
      </c>
      <c r="J19" s="2">
        <v>15</v>
      </c>
      <c r="K19" s="2">
        <v>25</v>
      </c>
      <c r="L19" s="13"/>
      <c r="M19" s="15" t="s">
        <v>21</v>
      </c>
      <c r="N19" s="15">
        <f xml:space="preserve"> SUM(I18:I21)</f>
        <v>22</v>
      </c>
      <c r="O19" s="15">
        <f>SUM(J18:J21)</f>
        <v>58</v>
      </c>
      <c r="P19" s="15">
        <f>SUM(K18:K21)</f>
        <v>104</v>
      </c>
    </row>
    <row r="20" spans="1:16" x14ac:dyDescent="0.25">
      <c r="A20" s="17"/>
      <c r="B20" s="17"/>
      <c r="C20" s="17"/>
      <c r="D20" s="17"/>
      <c r="E20" s="17"/>
      <c r="F20" s="17"/>
      <c r="G20" s="17"/>
      <c r="H20" s="17"/>
      <c r="I20" s="2">
        <v>3</v>
      </c>
      <c r="J20" s="2">
        <v>11</v>
      </c>
      <c r="K20" s="2">
        <v>29</v>
      </c>
      <c r="L20" s="13"/>
      <c r="M20" s="15" t="s">
        <v>38</v>
      </c>
      <c r="N20" s="15">
        <f>SUM(N15:N19)</f>
        <v>75.5</v>
      </c>
      <c r="O20" s="15">
        <f>SUM(O15:O19)</f>
        <v>61.75</v>
      </c>
      <c r="P20" s="15">
        <f>SUM(P15:P19)</f>
        <v>176.5</v>
      </c>
    </row>
    <row r="21" spans="1:16" x14ac:dyDescent="0.25">
      <c r="A21" s="17"/>
      <c r="B21" s="17"/>
      <c r="C21" s="17"/>
      <c r="D21" s="17"/>
      <c r="E21" s="17"/>
      <c r="F21" s="17"/>
      <c r="G21" s="17"/>
      <c r="H21" s="17"/>
      <c r="I21" s="2"/>
      <c r="J21" s="2"/>
      <c r="K21" s="2"/>
      <c r="L21" s="13"/>
      <c r="M21" s="13"/>
      <c r="N21" s="13"/>
      <c r="O21" s="13"/>
      <c r="P21" s="13"/>
    </row>
    <row r="22" spans="1:16" x14ac:dyDescent="0.25">
      <c r="A22" s="13"/>
      <c r="B22" s="13"/>
      <c r="C22" s="13"/>
      <c r="D22" s="13"/>
      <c r="E22" s="13"/>
      <c r="F22" s="13"/>
      <c r="G22" s="13"/>
      <c r="H22" s="13"/>
      <c r="I22" s="13"/>
      <c r="J22" s="13"/>
      <c r="K22" s="13"/>
      <c r="L22" s="13"/>
      <c r="M22" s="13"/>
      <c r="N22" s="13"/>
      <c r="O22" s="13"/>
      <c r="P22" s="13"/>
    </row>
    <row r="23" spans="1:16" ht="23.25" x14ac:dyDescent="0.35">
      <c r="A23" s="21">
        <v>43499</v>
      </c>
      <c r="B23" s="13"/>
      <c r="C23" s="13"/>
      <c r="D23" s="13"/>
      <c r="E23" s="13"/>
      <c r="F23" s="13"/>
      <c r="G23" s="13"/>
      <c r="H23" s="13"/>
      <c r="I23" s="13"/>
      <c r="J23" s="13"/>
      <c r="K23" s="13"/>
      <c r="L23" s="13"/>
      <c r="M23" s="13"/>
      <c r="N23" s="13"/>
      <c r="O23" s="13"/>
      <c r="P23" s="13"/>
    </row>
    <row r="24" spans="1:16" ht="18" thickBot="1" x14ac:dyDescent="0.35">
      <c r="A24" s="3" t="s">
        <v>48</v>
      </c>
      <c r="B24" s="3" t="s">
        <v>0</v>
      </c>
      <c r="C24" s="3" t="s">
        <v>36</v>
      </c>
      <c r="D24" s="3" t="s">
        <v>8</v>
      </c>
      <c r="E24" s="5" t="s">
        <v>9</v>
      </c>
      <c r="F24" s="5" t="s">
        <v>10</v>
      </c>
      <c r="G24" s="14"/>
      <c r="H24" s="19"/>
      <c r="I24" s="13"/>
      <c r="J24" s="13"/>
      <c r="K24" s="13"/>
      <c r="L24" s="13"/>
      <c r="M24" s="14"/>
      <c r="N24" s="15" t="s">
        <v>8</v>
      </c>
      <c r="O24" s="15" t="s">
        <v>9</v>
      </c>
      <c r="P24" s="15" t="s">
        <v>10</v>
      </c>
    </row>
    <row r="25" spans="1:16" ht="15.75" thickTop="1" x14ac:dyDescent="0.25">
      <c r="A25" s="18">
        <v>43493</v>
      </c>
      <c r="B25" s="16">
        <f>IFERROR(VLOOKUP(A25,OverviewTable[],2,FALSE),"?")</f>
        <v>126.2</v>
      </c>
      <c r="C25" s="16" t="str">
        <f>((N30 * 4) + (O30 * 9) + (P30 * 4))&amp;"/"&amp;IFERROR(VLOOKUP(A25,OverviewTable[],11,FALSE),"?")</f>
        <v>1230.5/2269.2</v>
      </c>
      <c r="D25" s="16" t="str">
        <f>N30&amp;"/"&amp;IFERROR(VLOOKUP(A25,OverviewTable[],12,FALSE),"?")</f>
        <v>107/126</v>
      </c>
      <c r="E25" s="16" t="str">
        <f>O30&amp;"/"&amp;IFERROR(VLOOKUP(A25,OverviewTable[],13,FALSE),"?")</f>
        <v>46.5/63</v>
      </c>
      <c r="F25" s="16" t="str">
        <f>P30&amp;"/"&amp;IFERROR(VLOOKUP(A25,OverviewTable[],14,FALSE),"?")</f>
        <v>96/300</v>
      </c>
      <c r="G25" s="19"/>
      <c r="H25" s="19"/>
      <c r="I25" s="13"/>
      <c r="J25" s="13"/>
      <c r="K25" s="13"/>
      <c r="L25" s="13"/>
      <c r="M25" s="15" t="s">
        <v>6</v>
      </c>
      <c r="N25" s="15">
        <f>(A28 * IFERROR(VLOOKUP(B28,BreakfastTable[],2,FALSE),0)) + (A29 * IFERROR(VLOOKUP(B29,BreakfastTable[],2,FALSE),0)) + (A30 * IFERROR(VLOOKUP(B30,BreakfastTable[],2,FALSE),0)) + (A31 * IFERROR(VLOOKUP(B31,BreakfastTable[],2,FALSE),0))</f>
        <v>20</v>
      </c>
      <c r="O25" s="15">
        <f>(A28 * IFERROR(VLOOKUP(B28,BreakfastTable[],3,FALSE),0)) + (A29 * IFERROR(VLOOKUP(B29,BreakfastTable[],3,FALSE),0)) + (A30 * IFERROR(VLOOKUP(B30,BreakfastTable[],3,FALSE),0)) + (A31 * IFERROR(VLOOKUP(B31,BreakfastTable[],3,FALSE),0))</f>
        <v>9</v>
      </c>
      <c r="P25" s="15">
        <f>(A28 * IFERROR(VLOOKUP(B28,BreakfastTable[],4,FALSE),0)) + (A29 * IFERROR(VLOOKUP(B29,BreakfastTable[],4,FALSE),0)) + (A30 * IFERROR(VLOOKUP(B30,BreakfastTable[],4,FALSE),0)) + (A31 * IFERROR(VLOOKUP(B31,BreakfastTable[],4,FALSE),0))</f>
        <v>30</v>
      </c>
    </row>
    <row r="26" spans="1:16" x14ac:dyDescent="0.25">
      <c r="A26" s="17"/>
      <c r="B26" s="17"/>
      <c r="C26" s="17"/>
      <c r="D26" s="17"/>
      <c r="E26" s="17"/>
      <c r="F26" s="17"/>
      <c r="G26" s="19"/>
      <c r="H26" s="19"/>
      <c r="I26" s="13"/>
      <c r="J26" s="13"/>
      <c r="K26" s="13"/>
      <c r="L26" s="13"/>
      <c r="M26" s="15" t="s">
        <v>11</v>
      </c>
      <c r="N26" s="15">
        <f>(C28 * IFERROR(VLOOKUP(D28,LunchTable[],2,FALSE),0)) + (C29 * IFERROR(VLOOKUP(D29,LunchTable[],2,FALSE),0)) + (C30 * IFERROR(VLOOKUP(D30,LunchTable[],2,FALSE),0)) + (C31 * IFERROR(VLOOKUP(D31,LunchTable[],2,FALSE),0))</f>
        <v>38</v>
      </c>
      <c r="O26" s="15">
        <f>(C28 * IFERROR(VLOOKUP(D28,LunchTable[],3,FALSE),0)) + (C29 * IFERROR(VLOOKUP(D29,LunchTable[],3,FALSE),0)) + (C30 * IFERROR(VLOOKUP(D30,LunchTable[],3,FALSE),0)) + (C31 * IFERROR(VLOOKUP(D31,LunchTable[],3,FALSE),0))</f>
        <v>16.5</v>
      </c>
      <c r="P26" s="15">
        <f>(C28 * IFERROR(VLOOKUP(D28,LunchTable[],4,FALSE),0)) + (C29 * IFERROR(VLOOKUP(D29,LunchTable[],4,FALSE),0)) + (C30 * IFERROR(VLOOKUP(D30,LunchTable[],4,FALSE),0)) + (C31 * IFERROR(VLOOKUP(D31,LunchTable[],4,FALSE),0))</f>
        <v>61</v>
      </c>
    </row>
    <row r="27" spans="1:16" ht="18" thickBot="1" x14ac:dyDescent="0.35">
      <c r="A27" s="10" t="s">
        <v>34</v>
      </c>
      <c r="B27" s="11" t="s">
        <v>6</v>
      </c>
      <c r="C27" s="10" t="s">
        <v>34</v>
      </c>
      <c r="D27" s="11" t="s">
        <v>11</v>
      </c>
      <c r="E27" s="10" t="s">
        <v>34</v>
      </c>
      <c r="F27" s="11" t="s">
        <v>12</v>
      </c>
      <c r="G27" s="10" t="s">
        <v>34</v>
      </c>
      <c r="H27" s="12" t="s">
        <v>35</v>
      </c>
      <c r="I27" s="5" t="s">
        <v>41</v>
      </c>
      <c r="J27" s="5" t="s">
        <v>42</v>
      </c>
      <c r="K27" s="5" t="s">
        <v>43</v>
      </c>
      <c r="L27" s="13"/>
      <c r="M27" s="15" t="s">
        <v>12</v>
      </c>
      <c r="N27" s="15">
        <f>(E28 * IFERROR(VLOOKUP(F28,DinnerTable[],2,FALSE),0)) + (E29 * IFERROR(VLOOKUP(F29,DinnerTable[],2,FALSE),0)) + (E30 * IFERROR(VLOOKUP(F30,DinnerTable[],2,FALSE),0)) + (E31 * IFERROR(VLOOKUP(F31,DinnerTable[],2,FALSE),0))</f>
        <v>0</v>
      </c>
      <c r="O27" s="15">
        <f>(E28 * IFERROR(VLOOKUP(F28,DinnerTable[],3,FALSE),0)) + (E29 * IFERROR(VLOOKUP(F29,DinnerTable[],3,FALSE),0)) + (E30 * IFERROR(VLOOKUP(F30,DinnerTable[],3,FALSE),0)) + (E31 * IFERROR(VLOOKUP(F31,DinnerTable[],3,FALSE),0))</f>
        <v>0</v>
      </c>
      <c r="P27" s="15">
        <f>(E28 * IFERROR(VLOOKUP(F28,DinnerTable[],4,FALSE),0)) + (E29 * IFERROR(VLOOKUP(F29,DinnerTable[],4,FALSE),0)) + (E30 * IFERROR(VLOOKUP(F30,DinnerTable[],4,FALSE),0)) + (E31 * IFERROR(VLOOKUP(F31,DinnerTable[],4,FALSE),0))</f>
        <v>0</v>
      </c>
    </row>
    <row r="28" spans="1:16" ht="15.75" thickTop="1" x14ac:dyDescent="0.25">
      <c r="A28" s="17">
        <v>1</v>
      </c>
      <c r="B28" s="17" t="s">
        <v>26</v>
      </c>
      <c r="C28" s="17">
        <v>3</v>
      </c>
      <c r="D28" s="17" t="s">
        <v>29</v>
      </c>
      <c r="E28" s="17"/>
      <c r="F28" s="17"/>
      <c r="G28" s="17"/>
      <c r="H28" s="17"/>
      <c r="I28" s="2">
        <v>46</v>
      </c>
      <c r="J28" s="2">
        <v>6</v>
      </c>
      <c r="K28" s="2">
        <v>3</v>
      </c>
      <c r="L28" s="13"/>
      <c r="M28" s="15" t="s">
        <v>35</v>
      </c>
      <c r="N28" s="15">
        <f>(G28 * IFERROR(VLOOKUP(H28,PostWorkoutTable[],2,FALSE),0)) + (G29 * IFERROR(VLOOKUP(H29,PostWorkoutTable[],2,FALSE),0)) + (G30 * IFERROR(VLOOKUP(H30,PostWorkoutTable[],2,FALSE),0)) + (G31 * IFERROR(VLOOKUP(H31,PostWorkoutTable[],2,FALSE),0))</f>
        <v>0</v>
      </c>
      <c r="O28" s="15">
        <f>(G28 * IFERROR(VLOOKUP(H28,PostWorkoutTable[],3,FALSE),0)) + (G29 * IFERROR(VLOOKUP(H29,PostWorkoutTable[],3,FALSE),0)) + (G30 * IFERROR(VLOOKUP(H30,PostWorkoutTable[],3,FALSE),0)) + (G31 * IFERROR(VLOOKUP(H31,PostWorkoutTable[],3,FALSE),0))</f>
        <v>0</v>
      </c>
      <c r="P28" s="15">
        <f>(G28 * IFERROR(VLOOKUP(H28,PostWorkoutTable[],4,FALSE),0)) + (G29 * IFERROR(VLOOKUP(H29,PostWorkoutTable[],4,FALSE),0)) + (G30 * IFERROR(VLOOKUP(H30,PostWorkoutTable[],4,FALSE),0)) + (G31 * IFERROR(VLOOKUP(H31,PostWorkoutTable[],4,FALSE),0))</f>
        <v>0</v>
      </c>
    </row>
    <row r="29" spans="1:16" x14ac:dyDescent="0.25">
      <c r="A29" s="17"/>
      <c r="B29" s="17"/>
      <c r="C29" s="17">
        <v>2</v>
      </c>
      <c r="D29" s="17" t="s">
        <v>49</v>
      </c>
      <c r="E29" s="17"/>
      <c r="F29" s="17"/>
      <c r="G29" s="17"/>
      <c r="H29" s="17"/>
      <c r="I29" s="2">
        <v>3</v>
      </c>
      <c r="J29" s="2">
        <v>15</v>
      </c>
      <c r="K29" s="2">
        <v>2</v>
      </c>
      <c r="L29" s="13"/>
      <c r="M29" s="15" t="s">
        <v>21</v>
      </c>
      <c r="N29" s="15">
        <f xml:space="preserve"> SUM(I28:I31)</f>
        <v>49</v>
      </c>
      <c r="O29" s="15">
        <f>SUM(J28:J31)</f>
        <v>21</v>
      </c>
      <c r="P29" s="15">
        <f>SUM(K28:K31)</f>
        <v>5</v>
      </c>
    </row>
    <row r="30" spans="1:16" x14ac:dyDescent="0.25">
      <c r="A30" s="17"/>
      <c r="B30" s="17"/>
      <c r="C30" s="17">
        <v>1</v>
      </c>
      <c r="D30" s="17" t="s">
        <v>23</v>
      </c>
      <c r="E30" s="17"/>
      <c r="F30" s="17"/>
      <c r="G30" s="17"/>
      <c r="H30" s="17"/>
      <c r="I30" s="2"/>
      <c r="J30" s="2"/>
      <c r="K30" s="2"/>
      <c r="L30" s="13"/>
      <c r="M30" s="15" t="s">
        <v>38</v>
      </c>
      <c r="N30" s="15">
        <f>SUM(N25:N29)</f>
        <v>107</v>
      </c>
      <c r="O30" s="15">
        <f>SUM(O25:O29)</f>
        <v>46.5</v>
      </c>
      <c r="P30" s="15">
        <f>SUM(P25:P29)</f>
        <v>96</v>
      </c>
    </row>
    <row r="31" spans="1:16" x14ac:dyDescent="0.25">
      <c r="A31" s="17"/>
      <c r="B31" s="17"/>
      <c r="C31" s="17"/>
      <c r="D31" s="17"/>
      <c r="E31" s="17"/>
      <c r="F31" s="17"/>
      <c r="G31" s="17"/>
      <c r="H31" s="17"/>
      <c r="I31" s="2"/>
      <c r="J31" s="2"/>
      <c r="K31" s="2"/>
      <c r="L31" s="13"/>
      <c r="M31" s="13"/>
      <c r="N31" s="13"/>
      <c r="O31" s="13"/>
      <c r="P31" s="13"/>
    </row>
    <row r="32" spans="1:16" x14ac:dyDescent="0.25">
      <c r="A32" s="13"/>
      <c r="B32" s="13"/>
      <c r="C32" s="13"/>
      <c r="D32" s="13"/>
      <c r="E32" s="13"/>
      <c r="F32" s="13"/>
      <c r="G32" s="13"/>
      <c r="H32" s="13"/>
      <c r="I32" s="13"/>
      <c r="J32" s="13"/>
      <c r="K32" s="13"/>
      <c r="L32" s="13"/>
      <c r="M32" s="13"/>
      <c r="N32" s="13"/>
      <c r="O32" s="13"/>
      <c r="P32" s="13"/>
    </row>
    <row r="33" spans="1:16" ht="23.25" x14ac:dyDescent="0.35">
      <c r="A33" s="21">
        <v>43500</v>
      </c>
      <c r="B33" s="13"/>
      <c r="C33" s="13"/>
      <c r="D33" s="13"/>
      <c r="E33" s="13"/>
      <c r="F33" s="13"/>
      <c r="G33" s="13"/>
      <c r="H33" s="13"/>
      <c r="I33" s="13"/>
      <c r="J33" s="13"/>
      <c r="K33" s="13"/>
      <c r="L33" s="13"/>
      <c r="M33" s="13"/>
      <c r="N33" s="13"/>
      <c r="O33" s="13"/>
      <c r="P33" s="13"/>
    </row>
    <row r="34" spans="1:16" ht="18" thickBot="1" x14ac:dyDescent="0.35">
      <c r="A34" s="3" t="s">
        <v>48</v>
      </c>
      <c r="B34" s="3" t="s">
        <v>0</v>
      </c>
      <c r="C34" s="3" t="s">
        <v>36</v>
      </c>
      <c r="D34" s="3" t="s">
        <v>8</v>
      </c>
      <c r="E34" s="5" t="s">
        <v>9</v>
      </c>
      <c r="F34" s="5" t="s">
        <v>10</v>
      </c>
      <c r="G34" s="14"/>
      <c r="H34" s="19"/>
      <c r="I34" s="13"/>
      <c r="J34" s="13"/>
      <c r="K34" s="13"/>
      <c r="L34" s="13"/>
      <c r="M34" s="14"/>
      <c r="N34" s="15" t="s">
        <v>8</v>
      </c>
      <c r="O34" s="15" t="s">
        <v>9</v>
      </c>
      <c r="P34" s="15" t="s">
        <v>10</v>
      </c>
    </row>
    <row r="35" spans="1:16" ht="15.75" thickTop="1" x14ac:dyDescent="0.25">
      <c r="A35" s="18">
        <v>43500</v>
      </c>
      <c r="B35" s="16">
        <f>IFERROR(VLOOKUP(A35,OverviewTable[],2,FALSE),"?")</f>
        <v>127</v>
      </c>
      <c r="C35" s="16" t="str">
        <f>((N40 * 4) + (O40 * 9) + (P40 * 4))&amp;"/"&amp;IFERROR(VLOOKUP(A35,OverviewTable[],11,FALSE),"?")</f>
        <v>1993.3/2282</v>
      </c>
      <c r="D35" s="16" t="str">
        <f>N40&amp;"/"&amp;IFERROR(VLOOKUP(A35,OverviewTable[],12,FALSE),"?")</f>
        <v>118.9/127</v>
      </c>
      <c r="E35" s="16" t="str">
        <f>O40&amp;"/"&amp;IFERROR(VLOOKUP(A35,OverviewTable[],13,FALSE),"?")</f>
        <v>81.7/63</v>
      </c>
      <c r="F35" s="16" t="str">
        <f>P40&amp;"/"&amp;IFERROR(VLOOKUP(A35,OverviewTable[],14,FALSE),"?")</f>
        <v>195.6/302</v>
      </c>
      <c r="G35" s="19"/>
      <c r="H35" s="19"/>
      <c r="I35" s="13"/>
      <c r="J35" s="13"/>
      <c r="K35" s="13"/>
      <c r="L35" s="13"/>
      <c r="M35" s="15" t="s">
        <v>6</v>
      </c>
      <c r="N35" s="15">
        <f>(A38 * IFERROR(VLOOKUP(B38,BreakfastTable[],2,FALSE),0)) + (A39 * IFERROR(VLOOKUP(B39,BreakfastTable[],2,FALSE),0)) + (A40 * IFERROR(VLOOKUP(B40,BreakfastTable[],2,FALSE),0)) + (A41 * IFERROR(VLOOKUP(B41,BreakfastTable[],2,FALSE),0))</f>
        <v>21.6</v>
      </c>
      <c r="O35" s="15">
        <f>(A38 * IFERROR(VLOOKUP(B38,BreakfastTable[],3,FALSE),0)) + (A39 * IFERROR(VLOOKUP(B39,BreakfastTable[],3,FALSE),0)) + (A40 * IFERROR(VLOOKUP(B40,BreakfastTable[],3,FALSE),0)) + (A41 * IFERROR(VLOOKUP(B41,BreakfastTable[],3,FALSE),0))</f>
        <v>9.5</v>
      </c>
      <c r="P35" s="15">
        <f>(A38 * IFERROR(VLOOKUP(B38,BreakfastTable[],4,FALSE),0)) + (A39 * IFERROR(VLOOKUP(B39,BreakfastTable[],4,FALSE),0)) + (A40 * IFERROR(VLOOKUP(B40,BreakfastTable[],4,FALSE),0)) + (A41 * IFERROR(VLOOKUP(B41,BreakfastTable[],4,FALSE),0))</f>
        <v>64.3</v>
      </c>
    </row>
    <row r="36" spans="1:16" x14ac:dyDescent="0.25">
      <c r="A36" s="17"/>
      <c r="B36" s="17"/>
      <c r="C36" s="17"/>
      <c r="D36" s="17"/>
      <c r="E36" s="17"/>
      <c r="F36" s="17"/>
      <c r="G36" s="19"/>
      <c r="H36" s="19"/>
      <c r="I36" s="13"/>
      <c r="J36" s="13"/>
      <c r="K36" s="13"/>
      <c r="L36" s="13"/>
      <c r="M36" s="15" t="s">
        <v>11</v>
      </c>
      <c r="N36" s="15">
        <f>(C38 * IFERROR(VLOOKUP(D38,LunchTable[],2,FALSE),0)) + (C39 * IFERROR(VLOOKUP(D39,LunchTable[],2,FALSE),0)) + (C40 * IFERROR(VLOOKUP(D40,LunchTable[],2,FALSE),0)) + (C41 * IFERROR(VLOOKUP(D41,LunchTable[],2,FALSE),0))</f>
        <v>35</v>
      </c>
      <c r="O36" s="15">
        <f>(C38 * IFERROR(VLOOKUP(D38,LunchTable[],3,FALSE),0)) + (C39 * IFERROR(VLOOKUP(D39,LunchTable[],3,FALSE),0)) + (C40 * IFERROR(VLOOKUP(D40,LunchTable[],3,FALSE),0)) + (C41 * IFERROR(VLOOKUP(D41,LunchTable[],3,FALSE),0))</f>
        <v>50</v>
      </c>
      <c r="P36" s="15">
        <f>(C38 * IFERROR(VLOOKUP(D38,LunchTable[],4,FALSE),0)) + (C39 * IFERROR(VLOOKUP(D39,LunchTable[],4,FALSE),0)) + (C40 * IFERROR(VLOOKUP(D40,LunchTable[],4,FALSE),0)) + (C41 * IFERROR(VLOOKUP(D41,LunchTable[],4,FALSE),0))</f>
        <v>60</v>
      </c>
    </row>
    <row r="37" spans="1:16" ht="18" thickBot="1" x14ac:dyDescent="0.35">
      <c r="A37" s="10" t="s">
        <v>34</v>
      </c>
      <c r="B37" s="11" t="s">
        <v>6</v>
      </c>
      <c r="C37" s="10" t="s">
        <v>34</v>
      </c>
      <c r="D37" s="11" t="s">
        <v>11</v>
      </c>
      <c r="E37" s="10" t="s">
        <v>34</v>
      </c>
      <c r="F37" s="11" t="s">
        <v>12</v>
      </c>
      <c r="G37" s="10" t="s">
        <v>34</v>
      </c>
      <c r="H37" s="12" t="s">
        <v>35</v>
      </c>
      <c r="I37" s="5" t="s">
        <v>41</v>
      </c>
      <c r="J37" s="5" t="s">
        <v>42</v>
      </c>
      <c r="K37" s="5" t="s">
        <v>43</v>
      </c>
      <c r="L37" s="13"/>
      <c r="M37" s="15" t="s">
        <v>12</v>
      </c>
      <c r="N37" s="15">
        <f>(E38 * IFERROR(VLOOKUP(F38,DinnerTable[],2,FALSE),0)) + (E39 * IFERROR(VLOOKUP(F39,DinnerTable[],2,FALSE),0)) + (E40 * IFERROR(VLOOKUP(F40,DinnerTable[],2,FALSE),0)) + (E41 * IFERROR(VLOOKUP(F41,DinnerTable[],2,FALSE),0))</f>
        <v>24</v>
      </c>
      <c r="O37" s="15">
        <f>(E38 * IFERROR(VLOOKUP(F38,DinnerTable[],3,FALSE),0)) + (E39 * IFERROR(VLOOKUP(F39,DinnerTable[],3,FALSE),0)) + (E40 * IFERROR(VLOOKUP(F40,DinnerTable[],3,FALSE),0)) + (E41 * IFERROR(VLOOKUP(F41,DinnerTable[],3,FALSE),0))</f>
        <v>6</v>
      </c>
      <c r="P37" s="15">
        <f>(E38 * IFERROR(VLOOKUP(F38,DinnerTable[],4,FALSE),0)) + (E39 * IFERROR(VLOOKUP(F39,DinnerTable[],4,FALSE),0)) + (E40 * IFERROR(VLOOKUP(F40,DinnerTable[],4,FALSE),0)) + (E41 * IFERROR(VLOOKUP(F41,DinnerTable[],4,FALSE),0))</f>
        <v>0</v>
      </c>
    </row>
    <row r="38" spans="1:16" ht="15.75" thickTop="1" x14ac:dyDescent="0.25">
      <c r="A38" s="17">
        <v>1</v>
      </c>
      <c r="B38" s="17" t="s">
        <v>26</v>
      </c>
      <c r="C38" s="17">
        <v>0.5</v>
      </c>
      <c r="D38" s="17" t="s">
        <v>28</v>
      </c>
      <c r="E38" s="17">
        <v>1</v>
      </c>
      <c r="F38" s="17" t="s">
        <v>63</v>
      </c>
      <c r="G38" s="17">
        <v>1</v>
      </c>
      <c r="H38" s="17" t="s">
        <v>26</v>
      </c>
      <c r="I38" s="2">
        <v>18</v>
      </c>
      <c r="J38" s="2">
        <v>7</v>
      </c>
      <c r="K38" s="2">
        <v>24</v>
      </c>
      <c r="L38" s="13"/>
      <c r="M38" s="15" t="s">
        <v>35</v>
      </c>
      <c r="N38" s="15">
        <f>(G38 * IFERROR(VLOOKUP(H38,PostWorkoutTable[],2,FALSE),0)) + (G39 * IFERROR(VLOOKUP(H39,PostWorkoutTable[],2,FALSE),0)) + (G40 * IFERROR(VLOOKUP(H40,PostWorkoutTable[],2,FALSE),0)) + (G41 * IFERROR(VLOOKUP(H41,PostWorkoutTable[],2,FALSE),0))</f>
        <v>20.3</v>
      </c>
      <c r="O38" s="15">
        <f>(G38 * IFERROR(VLOOKUP(H38,PostWorkoutTable[],3,FALSE),0)) + (G39 * IFERROR(VLOOKUP(H39,PostWorkoutTable[],3,FALSE),0)) + (G40 * IFERROR(VLOOKUP(H40,PostWorkoutTable[],3,FALSE),0)) + (G41 * IFERROR(VLOOKUP(H41,PostWorkoutTable[],3,FALSE),0))</f>
        <v>9.1999999999999993</v>
      </c>
      <c r="P38" s="15">
        <f>(G38 * IFERROR(VLOOKUP(H38,PostWorkoutTable[],4,FALSE),0)) + (G39 * IFERROR(VLOOKUP(H39,PostWorkoutTable[],4,FALSE),0)) + (G40 * IFERROR(VLOOKUP(H40,PostWorkoutTable[],4,FALSE),0)) + (G41 * IFERROR(VLOOKUP(H41,PostWorkoutTable[],4,FALSE),0))</f>
        <v>47.3</v>
      </c>
    </row>
    <row r="39" spans="1:16" x14ac:dyDescent="0.25">
      <c r="A39" s="17">
        <v>1</v>
      </c>
      <c r="B39" s="17" t="s">
        <v>27</v>
      </c>
      <c r="C39" s="17"/>
      <c r="D39" s="17"/>
      <c r="E39" s="17"/>
      <c r="F39" s="17"/>
      <c r="G39" s="17">
        <v>1</v>
      </c>
      <c r="H39" s="17" t="s">
        <v>33</v>
      </c>
      <c r="I39" s="2"/>
      <c r="J39" s="2"/>
      <c r="K39" s="2"/>
      <c r="L39" s="13"/>
      <c r="M39" s="15" t="s">
        <v>21</v>
      </c>
      <c r="N39" s="15">
        <f xml:space="preserve"> SUM(I38:I41)</f>
        <v>18</v>
      </c>
      <c r="O39" s="15">
        <f>SUM(J38:J41)</f>
        <v>7</v>
      </c>
      <c r="P39" s="15">
        <f>SUM(K38:K41)</f>
        <v>24</v>
      </c>
    </row>
    <row r="40" spans="1:16" x14ac:dyDescent="0.25">
      <c r="A40" s="17"/>
      <c r="B40" s="17"/>
      <c r="C40" s="17"/>
      <c r="D40" s="17"/>
      <c r="E40" s="17"/>
      <c r="F40" s="17"/>
      <c r="G40" s="17"/>
      <c r="H40" s="17"/>
      <c r="I40" s="2"/>
      <c r="J40" s="2"/>
      <c r="K40" s="2"/>
      <c r="L40" s="13"/>
      <c r="M40" s="15" t="s">
        <v>38</v>
      </c>
      <c r="N40" s="15">
        <f>SUM(N35:N39)</f>
        <v>118.89999999999999</v>
      </c>
      <c r="O40" s="15">
        <f>SUM(O35:O39)</f>
        <v>81.7</v>
      </c>
      <c r="P40" s="15">
        <f>SUM(P35:P39)</f>
        <v>195.6</v>
      </c>
    </row>
    <row r="41" spans="1:16" x14ac:dyDescent="0.25">
      <c r="A41" s="17"/>
      <c r="B41" s="17"/>
      <c r="C41" s="17"/>
      <c r="D41" s="17"/>
      <c r="E41" s="17"/>
      <c r="F41" s="17"/>
      <c r="G41" s="17"/>
      <c r="H41" s="17"/>
      <c r="I41" s="2"/>
      <c r="J41" s="2"/>
      <c r="K41" s="2"/>
      <c r="L41" s="13"/>
      <c r="M41" s="13"/>
      <c r="N41" s="13"/>
      <c r="O41" s="13"/>
      <c r="P41" s="13"/>
    </row>
    <row r="42" spans="1:16" x14ac:dyDescent="0.25">
      <c r="A42" s="13"/>
      <c r="B42" s="13"/>
      <c r="C42" s="13"/>
      <c r="D42" s="13"/>
      <c r="E42" s="13"/>
      <c r="F42" s="13"/>
      <c r="G42" s="13"/>
      <c r="H42" s="13"/>
      <c r="I42" s="13"/>
      <c r="J42" s="13"/>
      <c r="K42" s="13"/>
      <c r="L42" s="13"/>
      <c r="M42" s="13"/>
      <c r="N42" s="13"/>
      <c r="O42" s="13"/>
      <c r="P42" s="13"/>
    </row>
    <row r="43" spans="1:16" ht="23.25" x14ac:dyDescent="0.35">
      <c r="A43" s="21">
        <v>43501</v>
      </c>
      <c r="B43" s="13"/>
      <c r="C43" s="13"/>
      <c r="D43" s="13"/>
      <c r="E43" s="13"/>
      <c r="F43" s="13"/>
      <c r="G43" s="13"/>
      <c r="H43" s="13"/>
      <c r="I43" s="13"/>
      <c r="J43" s="13"/>
      <c r="K43" s="13"/>
      <c r="L43" s="13"/>
      <c r="M43" s="13"/>
      <c r="N43" s="13"/>
      <c r="O43" s="13"/>
      <c r="P43" s="13"/>
    </row>
    <row r="44" spans="1:16" ht="18" thickBot="1" x14ac:dyDescent="0.35">
      <c r="A44" s="3" t="s">
        <v>48</v>
      </c>
      <c r="B44" s="3" t="s">
        <v>0</v>
      </c>
      <c r="C44" s="3" t="s">
        <v>36</v>
      </c>
      <c r="D44" s="3" t="s">
        <v>8</v>
      </c>
      <c r="E44" s="5" t="s">
        <v>9</v>
      </c>
      <c r="F44" s="5" t="s">
        <v>10</v>
      </c>
      <c r="G44" s="14"/>
      <c r="H44" s="19"/>
      <c r="I44" s="13"/>
      <c r="J44" s="13"/>
      <c r="K44" s="13"/>
      <c r="L44" s="13"/>
      <c r="M44" s="14"/>
      <c r="N44" s="15" t="s">
        <v>8</v>
      </c>
      <c r="O44" s="15" t="s">
        <v>9</v>
      </c>
      <c r="P44" s="15" t="s">
        <v>10</v>
      </c>
    </row>
    <row r="45" spans="1:16" ht="15.75" thickTop="1" x14ac:dyDescent="0.25">
      <c r="A45" s="18">
        <v>43500</v>
      </c>
      <c r="B45" s="16">
        <f>IFERROR(VLOOKUP(A45,OverviewTable[],2,FALSE),"?")</f>
        <v>127</v>
      </c>
      <c r="C45" s="16" t="str">
        <f>((N50 * 4) + (O50 * 9) + (P50 * 4))&amp;"/"&amp;IFERROR(VLOOKUP(A45,OverviewTable[],11,FALSE),"?")</f>
        <v>2196.22/2282</v>
      </c>
      <c r="D45" s="16" t="str">
        <f>N50&amp;"/"&amp;IFERROR(VLOOKUP(A45,OverviewTable[],12,FALSE),"?")</f>
        <v>165.36/127</v>
      </c>
      <c r="E45" s="16" t="str">
        <f>O50&amp;"/"&amp;IFERROR(VLOOKUP(A45,OverviewTable[],13,FALSE),"?")</f>
        <v>65.82/63</v>
      </c>
      <c r="F45" s="16" t="str">
        <f>P50&amp;"/"&amp;IFERROR(VLOOKUP(A45,OverviewTable[],14,FALSE),"?")</f>
        <v>235.6/302</v>
      </c>
      <c r="G45" s="19"/>
      <c r="H45" s="19"/>
      <c r="I45" s="13"/>
      <c r="J45" s="13"/>
      <c r="K45" s="13"/>
      <c r="L45" s="13"/>
      <c r="M45" s="15" t="s">
        <v>6</v>
      </c>
      <c r="N45" s="15">
        <f>(A48 * IFERROR(VLOOKUP(B48,BreakfastTable[],2,FALSE),0)) + (A49 * IFERROR(VLOOKUP(B49,BreakfastTable[],2,FALSE),0)) + (A50 * IFERROR(VLOOKUP(B50,BreakfastTable[],2,FALSE),0)) + (A51 * IFERROR(VLOOKUP(B51,BreakfastTable[],2,FALSE),0))</f>
        <v>20</v>
      </c>
      <c r="O45" s="15">
        <f>(A48 * IFERROR(VLOOKUP(B48,BreakfastTable[],3,FALSE),0)) + (A49 * IFERROR(VLOOKUP(B49,BreakfastTable[],3,FALSE),0)) + (A50 * IFERROR(VLOOKUP(B50,BreakfastTable[],3,FALSE),0)) + (A51 * IFERROR(VLOOKUP(B51,BreakfastTable[],3,FALSE),0))</f>
        <v>9</v>
      </c>
      <c r="P45" s="15">
        <f>(A48 * IFERROR(VLOOKUP(B48,BreakfastTable[],4,FALSE),0)) + (A49 * IFERROR(VLOOKUP(B49,BreakfastTable[],4,FALSE),0)) + (A50 * IFERROR(VLOOKUP(B50,BreakfastTable[],4,FALSE),0)) + (A51 * IFERROR(VLOOKUP(B51,BreakfastTable[],4,FALSE),0))</f>
        <v>30</v>
      </c>
    </row>
    <row r="46" spans="1:16" x14ac:dyDescent="0.25">
      <c r="A46" s="17"/>
      <c r="B46" s="17"/>
      <c r="C46" s="17"/>
      <c r="D46" s="17"/>
      <c r="E46" s="17"/>
      <c r="F46" s="17"/>
      <c r="G46" s="19"/>
      <c r="H46" s="19"/>
      <c r="I46" s="13"/>
      <c r="J46" s="13"/>
      <c r="K46" s="13"/>
      <c r="L46" s="13"/>
      <c r="M46" s="15" t="s">
        <v>11</v>
      </c>
      <c r="N46" s="15">
        <f>(C48 * IFERROR(VLOOKUP(D48,LunchTable[],2,FALSE),0)) + (C49 * IFERROR(VLOOKUP(D49,LunchTable[],2,FALSE),0)) + (C50 * IFERROR(VLOOKUP(D50,LunchTable[],2,FALSE),0)) + (C51 * IFERROR(VLOOKUP(D51,LunchTable[],2,FALSE),0))</f>
        <v>63.160000000000004</v>
      </c>
      <c r="O46" s="15">
        <f>(C48 * IFERROR(VLOOKUP(D48,LunchTable[],3,FALSE),0)) + (C49 * IFERROR(VLOOKUP(D49,LunchTable[],3,FALSE),0)) + (C50 * IFERROR(VLOOKUP(D50,LunchTable[],3,FALSE),0)) + (C51 * IFERROR(VLOOKUP(D51,LunchTable[],3,FALSE),0))</f>
        <v>16.920000000000002</v>
      </c>
      <c r="P46" s="15">
        <f>(C48 * IFERROR(VLOOKUP(D48,LunchTable[],4,FALSE),0)) + (C49 * IFERROR(VLOOKUP(D49,LunchTable[],4,FALSE),0)) + (C50 * IFERROR(VLOOKUP(D50,LunchTable[],4,FALSE),0)) + (C51 * IFERROR(VLOOKUP(D51,LunchTable[],4,FALSE),0))</f>
        <v>66.2</v>
      </c>
    </row>
    <row r="47" spans="1:16" ht="18" thickBot="1" x14ac:dyDescent="0.35">
      <c r="A47" s="10" t="s">
        <v>34</v>
      </c>
      <c r="B47" s="11" t="s">
        <v>6</v>
      </c>
      <c r="C47" s="10" t="s">
        <v>34</v>
      </c>
      <c r="D47" s="11" t="s">
        <v>11</v>
      </c>
      <c r="E47" s="10" t="s">
        <v>34</v>
      </c>
      <c r="F47" s="11" t="s">
        <v>12</v>
      </c>
      <c r="G47" s="10" t="s">
        <v>34</v>
      </c>
      <c r="H47" s="12" t="s">
        <v>35</v>
      </c>
      <c r="I47" s="5" t="s">
        <v>41</v>
      </c>
      <c r="J47" s="5" t="s">
        <v>42</v>
      </c>
      <c r="K47" s="5" t="s">
        <v>43</v>
      </c>
      <c r="L47" s="13"/>
      <c r="M47" s="15" t="s">
        <v>12</v>
      </c>
      <c r="N47" s="15">
        <f>(E48 * IFERROR(VLOOKUP(F48,DinnerTable[],2,FALSE),0)) + (E49 * IFERROR(VLOOKUP(F49,DinnerTable[],2,FALSE),0)) + (E50 * IFERROR(VLOOKUP(F50,DinnerTable[],2,FALSE),0)) + (E51 * IFERROR(VLOOKUP(F51,DinnerTable[],2,FALSE),0))</f>
        <v>50</v>
      </c>
      <c r="O47" s="15">
        <f>(E48 * IFERROR(VLOOKUP(F48,DinnerTable[],3,FALSE),0)) + (E49 * IFERROR(VLOOKUP(F49,DinnerTable[],3,FALSE),0)) + (E50 * IFERROR(VLOOKUP(F50,DinnerTable[],3,FALSE),0)) + (E51 * IFERROR(VLOOKUP(F51,DinnerTable[],3,FALSE),0))</f>
        <v>25</v>
      </c>
      <c r="P47" s="15">
        <f>(E48 * IFERROR(VLOOKUP(F48,DinnerTable[],4,FALSE),0)) + (E49 * IFERROR(VLOOKUP(F49,DinnerTable[],4,FALSE),0)) + (E50 * IFERROR(VLOOKUP(F50,DinnerTable[],4,FALSE),0)) + (E51 * IFERROR(VLOOKUP(F51,DinnerTable[],4,FALSE),0))</f>
        <v>89</v>
      </c>
    </row>
    <row r="48" spans="1:16" ht="15.75" thickTop="1" x14ac:dyDescent="0.25">
      <c r="A48" s="17">
        <v>1</v>
      </c>
      <c r="B48" s="17" t="s">
        <v>26</v>
      </c>
      <c r="C48" s="17">
        <v>0.33</v>
      </c>
      <c r="D48" s="17" t="s">
        <v>51</v>
      </c>
      <c r="E48" s="17">
        <v>1</v>
      </c>
      <c r="F48" s="17" t="s">
        <v>50</v>
      </c>
      <c r="G48" s="17">
        <v>1</v>
      </c>
      <c r="H48" s="17" t="s">
        <v>96</v>
      </c>
      <c r="I48" s="2"/>
      <c r="J48" s="2"/>
      <c r="K48" s="2"/>
      <c r="L48" s="13"/>
      <c r="M48" s="15" t="s">
        <v>35</v>
      </c>
      <c r="N48" s="15">
        <f>(G48 * IFERROR(VLOOKUP(H48,PostWorkoutTable[],2,FALSE),0)) + (G49 * IFERROR(VLOOKUP(H49,PostWorkoutTable[],2,FALSE),0)) + (G50 * IFERROR(VLOOKUP(H50,PostWorkoutTable[],2,FALSE),0)) + (G51 * IFERROR(VLOOKUP(H51,PostWorkoutTable[],2,FALSE),0))</f>
        <v>32.200000000000003</v>
      </c>
      <c r="O48" s="15">
        <f>(G48 * IFERROR(VLOOKUP(H48,PostWorkoutTable[],3,FALSE),0)) + (G49 * IFERROR(VLOOKUP(H49,PostWorkoutTable[],3,FALSE),0)) + (G50 * IFERROR(VLOOKUP(H50,PostWorkoutTable[],3,FALSE),0)) + (G51 * IFERROR(VLOOKUP(H51,PostWorkoutTable[],3,FALSE),0))</f>
        <v>14.9</v>
      </c>
      <c r="P48" s="15">
        <f>(G48 * IFERROR(VLOOKUP(H48,PostWorkoutTable[],4,FALSE),0)) + (G49 * IFERROR(VLOOKUP(H49,PostWorkoutTable[],4,FALSE),0)) + (G50 * IFERROR(VLOOKUP(H50,PostWorkoutTable[],4,FALSE),0)) + (G51 * IFERROR(VLOOKUP(H51,PostWorkoutTable[],4,FALSE),0))</f>
        <v>50.4</v>
      </c>
    </row>
    <row r="49" spans="1:16" x14ac:dyDescent="0.25">
      <c r="A49" s="17"/>
      <c r="B49" s="17"/>
      <c r="C49" s="17">
        <v>0.33</v>
      </c>
      <c r="D49" s="17" t="s">
        <v>52</v>
      </c>
      <c r="E49" s="17">
        <v>1</v>
      </c>
      <c r="F49" s="17" t="s">
        <v>65</v>
      </c>
      <c r="G49" s="17"/>
      <c r="H49" s="17"/>
      <c r="I49" s="2"/>
      <c r="J49" s="2"/>
      <c r="K49" s="2"/>
      <c r="L49" s="13"/>
      <c r="M49" s="15" t="s">
        <v>21</v>
      </c>
      <c r="N49" s="15">
        <f xml:space="preserve"> SUM(I48:I51)</f>
        <v>0</v>
      </c>
      <c r="O49" s="15">
        <f>SUM(J48:J51)</f>
        <v>0</v>
      </c>
      <c r="P49" s="15">
        <f>SUM(K48:K51)</f>
        <v>0</v>
      </c>
    </row>
    <row r="50" spans="1:16" x14ac:dyDescent="0.25">
      <c r="A50" s="17"/>
      <c r="B50" s="17"/>
      <c r="C50" s="17">
        <v>1</v>
      </c>
      <c r="D50" s="17" t="s">
        <v>23</v>
      </c>
      <c r="E50" s="17">
        <v>2</v>
      </c>
      <c r="F50" s="17" t="s">
        <v>66</v>
      </c>
      <c r="G50" s="17"/>
      <c r="H50" s="17"/>
      <c r="I50" s="2"/>
      <c r="J50" s="2"/>
      <c r="K50" s="2"/>
      <c r="L50" s="13"/>
      <c r="M50" s="15" t="s">
        <v>38</v>
      </c>
      <c r="N50" s="15">
        <f>SUM(N45:N49)</f>
        <v>165.36</v>
      </c>
      <c r="O50" s="15">
        <f>SUM(O45:O49)</f>
        <v>65.820000000000007</v>
      </c>
      <c r="P50" s="15">
        <f>SUM(P45:P49)</f>
        <v>235.6</v>
      </c>
    </row>
    <row r="51" spans="1:16" x14ac:dyDescent="0.25">
      <c r="A51" s="17"/>
      <c r="B51" s="17"/>
      <c r="C51" s="17">
        <v>1</v>
      </c>
      <c r="D51" s="17" t="s">
        <v>90</v>
      </c>
      <c r="E51" s="17">
        <v>0.25</v>
      </c>
      <c r="F51" s="17" t="s">
        <v>79</v>
      </c>
      <c r="G51" s="17"/>
      <c r="H51" s="17"/>
      <c r="I51" s="2"/>
      <c r="J51" s="2"/>
      <c r="K51" s="2"/>
      <c r="L51" s="13"/>
      <c r="M51" s="13"/>
      <c r="N51" s="13"/>
      <c r="O51" s="13"/>
      <c r="P51" s="13"/>
    </row>
    <row r="52" spans="1:16" x14ac:dyDescent="0.25">
      <c r="A52" s="13"/>
      <c r="B52" s="13"/>
      <c r="C52" s="13"/>
      <c r="D52" s="13"/>
      <c r="E52" s="13"/>
      <c r="F52" s="13"/>
      <c r="G52" s="13"/>
      <c r="H52" s="13"/>
      <c r="I52" s="13"/>
      <c r="J52" s="13"/>
      <c r="K52" s="13"/>
      <c r="L52" s="13"/>
      <c r="M52" s="13"/>
      <c r="N52" s="13"/>
      <c r="O52" s="13"/>
      <c r="P52" s="13"/>
    </row>
    <row r="53" spans="1:16" ht="23.25" x14ac:dyDescent="0.35">
      <c r="A53" s="21">
        <v>43502</v>
      </c>
      <c r="B53" s="13"/>
      <c r="C53" s="13"/>
      <c r="D53" s="13"/>
      <c r="E53" s="13"/>
      <c r="F53" s="13"/>
      <c r="G53" s="13"/>
      <c r="H53" s="13"/>
      <c r="I53" s="13"/>
      <c r="J53" s="13"/>
      <c r="K53" s="13"/>
      <c r="L53" s="13"/>
      <c r="M53" s="13"/>
      <c r="N53" s="13"/>
      <c r="O53" s="13"/>
      <c r="P53" s="13"/>
    </row>
    <row r="54" spans="1:16" ht="18" thickBot="1" x14ac:dyDescent="0.35">
      <c r="A54" s="3" t="s">
        <v>48</v>
      </c>
      <c r="B54" s="3" t="s">
        <v>0</v>
      </c>
      <c r="C54" s="3" t="s">
        <v>36</v>
      </c>
      <c r="D54" s="3" t="s">
        <v>8</v>
      </c>
      <c r="E54" s="5" t="s">
        <v>9</v>
      </c>
      <c r="F54" s="5" t="s">
        <v>10</v>
      </c>
      <c r="G54" s="14"/>
      <c r="H54" s="19"/>
      <c r="I54" s="13"/>
      <c r="J54" s="13"/>
      <c r="K54" s="13"/>
      <c r="L54" s="13"/>
      <c r="M54" s="14"/>
      <c r="N54" s="15" t="s">
        <v>8</v>
      </c>
      <c r="O54" s="15" t="s">
        <v>9</v>
      </c>
      <c r="P54" s="15" t="s">
        <v>10</v>
      </c>
    </row>
    <row r="55" spans="1:16" ht="15.75" thickTop="1" x14ac:dyDescent="0.25">
      <c r="A55" s="18">
        <v>43500</v>
      </c>
      <c r="B55" s="16">
        <f>IFERROR(VLOOKUP(A55,OverviewTable[],2,FALSE),"?")</f>
        <v>127</v>
      </c>
      <c r="C55" s="16" t="str">
        <f>((N60 * 4) + (O60 * 9) + (P60 * 4))&amp;"/"&amp;IFERROR(VLOOKUP(A55,OverviewTable[],11,FALSE),"?")</f>
        <v>2939.75/2282</v>
      </c>
      <c r="D55" s="16" t="str">
        <f>N60&amp;"/"&amp;IFERROR(VLOOKUP(A55,OverviewTable[],12,FALSE),"?")</f>
        <v>220.05/127</v>
      </c>
      <c r="E55" s="16" t="str">
        <f>O60&amp;"/"&amp;IFERROR(VLOOKUP(A55,OverviewTable[],13,FALSE),"?")</f>
        <v>107.15/63</v>
      </c>
      <c r="F55" s="16" t="str">
        <f>P60&amp;"/"&amp;IFERROR(VLOOKUP(A55,OverviewTable[],14,FALSE),"?")</f>
        <v>273.8/302</v>
      </c>
      <c r="G55" s="19"/>
      <c r="H55" s="19"/>
      <c r="I55" s="13"/>
      <c r="J55" s="13"/>
      <c r="K55" s="13"/>
      <c r="L55" s="13"/>
      <c r="M55" s="15" t="s">
        <v>6</v>
      </c>
      <c r="N55" s="15">
        <f>(A58 * IFERROR(VLOOKUP(B58,BreakfastTable[],2,FALSE),0)) + (A59 * IFERROR(VLOOKUP(B59,BreakfastTable[],2,FALSE),0)) + (A60 * IFERROR(VLOOKUP(B60,BreakfastTable[],2,FALSE),0)) + (A61 * IFERROR(VLOOKUP(B61,BreakfastTable[],2,FALSE),0))</f>
        <v>20</v>
      </c>
      <c r="O55" s="15">
        <f>(A58 * IFERROR(VLOOKUP(B58,BreakfastTable[],3,FALSE),0)) + (A59 * IFERROR(VLOOKUP(B59,BreakfastTable[],3,FALSE),0)) + (A60 * IFERROR(VLOOKUP(B60,BreakfastTable[],3,FALSE),0)) + (A61 * IFERROR(VLOOKUP(B61,BreakfastTable[],3,FALSE),0))</f>
        <v>8</v>
      </c>
      <c r="P55" s="15">
        <f>(A58 * IFERROR(VLOOKUP(B58,BreakfastTable[],4,FALSE),0)) + (A59 * IFERROR(VLOOKUP(B59,BreakfastTable[],4,FALSE),0)) + (A60 * IFERROR(VLOOKUP(B60,BreakfastTable[],4,FALSE),0)) + (A61 * IFERROR(VLOOKUP(B61,BreakfastTable[],4,FALSE),0))</f>
        <v>30</v>
      </c>
    </row>
    <row r="56" spans="1:16" x14ac:dyDescent="0.25">
      <c r="A56" s="17"/>
      <c r="B56" s="17"/>
      <c r="C56" s="17"/>
      <c r="D56" s="17"/>
      <c r="E56" s="17"/>
      <c r="F56" s="17"/>
      <c r="G56" s="19"/>
      <c r="H56" s="19"/>
      <c r="I56" s="13"/>
      <c r="J56" s="13"/>
      <c r="K56" s="13"/>
      <c r="L56" s="13"/>
      <c r="M56" s="15" t="s">
        <v>11</v>
      </c>
      <c r="N56" s="15">
        <f>(C58 * IFERROR(VLOOKUP(D58,LunchTable[],2,FALSE),0)) + (C59 * IFERROR(VLOOKUP(D59,LunchTable[],2,FALSE),0)) + (C60 * IFERROR(VLOOKUP(D60,LunchTable[],2,FALSE),0)) + (C61 * IFERROR(VLOOKUP(D61,LunchTable[],2,FALSE),0))</f>
        <v>48</v>
      </c>
      <c r="O56" s="15">
        <f>(C58 * IFERROR(VLOOKUP(D58,LunchTable[],3,FALSE),0)) + (C59 * IFERROR(VLOOKUP(D59,LunchTable[],3,FALSE),0)) + (C60 * IFERROR(VLOOKUP(D60,LunchTable[],3,FALSE),0)) + (C61 * IFERROR(VLOOKUP(D61,LunchTable[],3,FALSE),0))</f>
        <v>42</v>
      </c>
      <c r="P56" s="15">
        <f>(C58 * IFERROR(VLOOKUP(D58,LunchTable[],4,FALSE),0)) + (C59 * IFERROR(VLOOKUP(D59,LunchTable[],4,FALSE),0)) + (C60 * IFERROR(VLOOKUP(D60,LunchTable[],4,FALSE),0)) + (C61 * IFERROR(VLOOKUP(D61,LunchTable[],4,FALSE),0))</f>
        <v>134.5</v>
      </c>
    </row>
    <row r="57" spans="1:16" ht="18" thickBot="1" x14ac:dyDescent="0.35">
      <c r="A57" s="10" t="s">
        <v>34</v>
      </c>
      <c r="B57" s="11" t="s">
        <v>6</v>
      </c>
      <c r="C57" s="10" t="s">
        <v>34</v>
      </c>
      <c r="D57" s="11" t="s">
        <v>11</v>
      </c>
      <c r="E57" s="10" t="s">
        <v>34</v>
      </c>
      <c r="F57" s="11" t="s">
        <v>12</v>
      </c>
      <c r="G57" s="10" t="s">
        <v>34</v>
      </c>
      <c r="H57" s="12" t="s">
        <v>35</v>
      </c>
      <c r="I57" s="5" t="s">
        <v>41</v>
      </c>
      <c r="J57" s="5" t="s">
        <v>42</v>
      </c>
      <c r="K57" s="5" t="s">
        <v>43</v>
      </c>
      <c r="L57" s="13"/>
      <c r="M57" s="15" t="s">
        <v>12</v>
      </c>
      <c r="N57" s="15">
        <f>(E58 * IFERROR(VLOOKUP(F58,DinnerTable[],2,FALSE),0)) + (E59 * IFERROR(VLOOKUP(F59,DinnerTable[],2,FALSE),0)) + (E60 * IFERROR(VLOOKUP(F60,DinnerTable[],2,FALSE),0)) + (E61 * IFERROR(VLOOKUP(F61,DinnerTable[],2,FALSE),0))</f>
        <v>119.75</v>
      </c>
      <c r="O57" s="15">
        <f>(E58 * IFERROR(VLOOKUP(F58,DinnerTable[],3,FALSE),0)) + (E59 * IFERROR(VLOOKUP(F59,DinnerTable[],3,FALSE),0)) + (E60 * IFERROR(VLOOKUP(F60,DinnerTable[],3,FALSE),0)) + (E61 * IFERROR(VLOOKUP(F61,DinnerTable[],3,FALSE),0))</f>
        <v>42.25</v>
      </c>
      <c r="P57" s="15">
        <f>(E58 * IFERROR(VLOOKUP(F58,DinnerTable[],4,FALSE),0)) + (E59 * IFERROR(VLOOKUP(F59,DinnerTable[],4,FALSE),0)) + (E60 * IFERROR(VLOOKUP(F60,DinnerTable[],4,FALSE),0)) + (E61 * IFERROR(VLOOKUP(F61,DinnerTable[],4,FALSE),0))</f>
        <v>54</v>
      </c>
    </row>
    <row r="58" spans="1:16" ht="15.75" thickTop="1" x14ac:dyDescent="0.25">
      <c r="A58" s="17">
        <v>1</v>
      </c>
      <c r="B58" s="17" t="s">
        <v>87</v>
      </c>
      <c r="C58" s="17">
        <v>1</v>
      </c>
      <c r="D58" s="17" t="s">
        <v>25</v>
      </c>
      <c r="E58" s="17">
        <v>0.5</v>
      </c>
      <c r="F58" s="17" t="s">
        <v>60</v>
      </c>
      <c r="G58" s="17">
        <v>1</v>
      </c>
      <c r="H58" s="17" t="s">
        <v>98</v>
      </c>
      <c r="I58" s="2"/>
      <c r="J58" s="2"/>
      <c r="K58" s="2"/>
      <c r="L58" s="13"/>
      <c r="M58" s="15" t="s">
        <v>35</v>
      </c>
      <c r="N58" s="15">
        <f>(G58 * IFERROR(VLOOKUP(H58,PostWorkoutTable[],2,FALSE),0)) + (G59 * IFERROR(VLOOKUP(H59,PostWorkoutTable[],2,FALSE),0)) + (G60 * IFERROR(VLOOKUP(H60,PostWorkoutTable[],2,FALSE),0)) + (G61 * IFERROR(VLOOKUP(H61,PostWorkoutTable[],2,FALSE),0))</f>
        <v>32.299999999999997</v>
      </c>
      <c r="O58" s="15">
        <f>(G58 * IFERROR(VLOOKUP(H58,PostWorkoutTable[],3,FALSE),0)) + (G59 * IFERROR(VLOOKUP(H59,PostWorkoutTable[],3,FALSE),0)) + (G60 * IFERROR(VLOOKUP(H60,PostWorkoutTable[],3,FALSE),0)) + (G61 * IFERROR(VLOOKUP(H61,PostWorkoutTable[],3,FALSE),0))</f>
        <v>14.9</v>
      </c>
      <c r="P58" s="15">
        <f>(G58 * IFERROR(VLOOKUP(H58,PostWorkoutTable[],4,FALSE),0)) + (G59 * IFERROR(VLOOKUP(H59,PostWorkoutTable[],4,FALSE),0)) + (G60 * IFERROR(VLOOKUP(H60,PostWorkoutTable[],4,FALSE),0)) + (G61 * IFERROR(VLOOKUP(H61,PostWorkoutTable[],4,FALSE),0))</f>
        <v>55.3</v>
      </c>
    </row>
    <row r="59" spans="1:16" x14ac:dyDescent="0.25">
      <c r="A59" s="17"/>
      <c r="B59" s="17"/>
      <c r="C59" s="17">
        <v>1</v>
      </c>
      <c r="D59" s="17" t="s">
        <v>88</v>
      </c>
      <c r="E59" s="17">
        <v>3</v>
      </c>
      <c r="F59" s="17" t="s">
        <v>22</v>
      </c>
      <c r="G59" s="17"/>
      <c r="H59" s="17"/>
      <c r="I59" s="2"/>
      <c r="J59" s="2"/>
      <c r="K59" s="2"/>
      <c r="L59" s="13"/>
      <c r="M59" s="15" t="s">
        <v>21</v>
      </c>
      <c r="N59" s="15">
        <f xml:space="preserve"> SUM(I58:I61)</f>
        <v>0</v>
      </c>
      <c r="O59" s="15">
        <f>SUM(J58:J61)</f>
        <v>0</v>
      </c>
      <c r="P59" s="15">
        <f>SUM(K58:K61)</f>
        <v>0</v>
      </c>
    </row>
    <row r="60" spans="1:16" x14ac:dyDescent="0.25">
      <c r="A60" s="17"/>
      <c r="B60" s="17"/>
      <c r="C60" s="17">
        <v>1</v>
      </c>
      <c r="D60" s="17" t="s">
        <v>89</v>
      </c>
      <c r="E60" s="17"/>
      <c r="F60" s="17"/>
      <c r="G60" s="17"/>
      <c r="H60" s="17"/>
      <c r="I60" s="2"/>
      <c r="J60" s="2"/>
      <c r="K60" s="2"/>
      <c r="L60" s="13"/>
      <c r="M60" s="15" t="s">
        <v>38</v>
      </c>
      <c r="N60" s="15">
        <f>SUM(N55:N59)</f>
        <v>220.05</v>
      </c>
      <c r="O60" s="15">
        <f>SUM(O55:O59)</f>
        <v>107.15</v>
      </c>
      <c r="P60" s="15">
        <f>SUM(P55:P59)</f>
        <v>273.8</v>
      </c>
    </row>
    <row r="61" spans="1:16" x14ac:dyDescent="0.25">
      <c r="A61" s="17"/>
      <c r="B61" s="17"/>
      <c r="C61" s="17"/>
      <c r="D61" s="17"/>
      <c r="E61" s="17"/>
      <c r="F61" s="17"/>
      <c r="G61" s="17"/>
      <c r="H61" s="17"/>
      <c r="I61" s="2"/>
      <c r="J61" s="2"/>
      <c r="K61" s="2"/>
      <c r="L61" s="13"/>
      <c r="M61" s="13"/>
      <c r="N61" s="13"/>
      <c r="O61" s="13"/>
      <c r="P61" s="13"/>
    </row>
    <row r="62" spans="1:16" x14ac:dyDescent="0.25">
      <c r="A62" s="13"/>
      <c r="B62" s="13"/>
      <c r="C62" s="13"/>
      <c r="D62" s="13"/>
      <c r="E62" s="13"/>
      <c r="F62" s="13"/>
      <c r="G62" s="13"/>
      <c r="H62" s="13"/>
      <c r="I62" s="13"/>
      <c r="J62" s="13"/>
      <c r="K62" s="13"/>
      <c r="L62" s="13"/>
      <c r="M62" s="13"/>
      <c r="N62" s="13"/>
      <c r="O62" s="13"/>
      <c r="P62" s="13"/>
    </row>
    <row r="63" spans="1:16" ht="23.25" x14ac:dyDescent="0.35">
      <c r="A63" s="21">
        <v>43503</v>
      </c>
      <c r="B63" s="13"/>
      <c r="C63" s="13"/>
      <c r="D63" s="13"/>
      <c r="E63" s="13"/>
      <c r="F63" s="13"/>
      <c r="G63" s="13"/>
      <c r="H63" s="13"/>
      <c r="I63" s="13"/>
      <c r="J63" s="13"/>
      <c r="K63" s="13"/>
      <c r="L63" s="13"/>
      <c r="M63" s="13"/>
      <c r="N63" s="13"/>
      <c r="O63" s="13"/>
      <c r="P63" s="13"/>
    </row>
    <row r="64" spans="1:16" ht="18" thickBot="1" x14ac:dyDescent="0.35">
      <c r="A64" s="3" t="s">
        <v>48</v>
      </c>
      <c r="B64" s="3" t="s">
        <v>0</v>
      </c>
      <c r="C64" s="3" t="s">
        <v>36</v>
      </c>
      <c r="D64" s="3" t="s">
        <v>8</v>
      </c>
      <c r="E64" s="5" t="s">
        <v>9</v>
      </c>
      <c r="F64" s="5" t="s">
        <v>10</v>
      </c>
      <c r="G64" s="14"/>
      <c r="H64" s="19"/>
      <c r="I64" s="13"/>
      <c r="J64" s="13"/>
      <c r="K64" s="13"/>
      <c r="L64" s="13"/>
      <c r="M64" s="14"/>
      <c r="N64" s="15" t="s">
        <v>8</v>
      </c>
      <c r="O64" s="15" t="s">
        <v>9</v>
      </c>
      <c r="P64" s="15" t="s">
        <v>10</v>
      </c>
    </row>
    <row r="65" spans="1:16" ht="15.75" thickTop="1" x14ac:dyDescent="0.25">
      <c r="A65" s="18">
        <v>43500</v>
      </c>
      <c r="B65" s="16">
        <f>IFERROR(VLOOKUP(A65,OverviewTable[],2,FALSE),"?")</f>
        <v>127</v>
      </c>
      <c r="C65" s="16" t="str">
        <f>((N70 * 4) + (O70 * 9) + (P70 * 4))&amp;"/"&amp;IFERROR(VLOOKUP(A65,OverviewTable[],11,FALSE),"?")</f>
        <v>3244.45/2282</v>
      </c>
      <c r="D65" s="16" t="str">
        <f>N70&amp;"/"&amp;IFERROR(VLOOKUP(A65,OverviewTable[],12,FALSE),"?")</f>
        <v>218.85/127</v>
      </c>
      <c r="E65" s="16" t="str">
        <f>O70&amp;"/"&amp;IFERROR(VLOOKUP(A65,OverviewTable[],13,FALSE),"?")</f>
        <v>113.85/63</v>
      </c>
      <c r="F65" s="16" t="str">
        <f>P70&amp;"/"&amp;IFERROR(VLOOKUP(A65,OverviewTable[],14,FALSE),"?")</f>
        <v>336.1/302</v>
      </c>
      <c r="G65" s="19"/>
      <c r="H65" s="19"/>
      <c r="I65" s="13"/>
      <c r="J65" s="13"/>
      <c r="K65" s="13"/>
      <c r="L65" s="13"/>
      <c r="M65" s="15" t="s">
        <v>6</v>
      </c>
      <c r="N65" s="15">
        <f>(A68 * IFERROR(VLOOKUP(B68,BreakfastTable[],2,FALSE),0)) + (A69 * IFERROR(VLOOKUP(B69,BreakfastTable[],2,FALSE),0)) + (A70 * IFERROR(VLOOKUP(B70,BreakfastTable[],2,FALSE),0)) + (A71 * IFERROR(VLOOKUP(B71,BreakfastTable[],2,FALSE),0))</f>
        <v>21.6</v>
      </c>
      <c r="O65" s="15">
        <f>(A68 * IFERROR(VLOOKUP(B68,BreakfastTable[],3,FALSE),0)) + (A69 * IFERROR(VLOOKUP(B69,BreakfastTable[],3,FALSE),0)) + (A70 * IFERROR(VLOOKUP(B70,BreakfastTable[],3,FALSE),0)) + (A71 * IFERROR(VLOOKUP(B71,BreakfastTable[],3,FALSE),0))</f>
        <v>8.5</v>
      </c>
      <c r="P65" s="15">
        <f>(A68 * IFERROR(VLOOKUP(B68,BreakfastTable[],4,FALSE),0)) + (A69 * IFERROR(VLOOKUP(B69,BreakfastTable[],4,FALSE),0)) + (A70 * IFERROR(VLOOKUP(B70,BreakfastTable[],4,FALSE),0)) + (A71 * IFERROR(VLOOKUP(B71,BreakfastTable[],4,FALSE),0))</f>
        <v>64.3</v>
      </c>
    </row>
    <row r="66" spans="1:16" x14ac:dyDescent="0.25">
      <c r="A66" s="17"/>
      <c r="B66" s="17"/>
      <c r="C66" s="17"/>
      <c r="D66" s="17"/>
      <c r="E66" s="17"/>
      <c r="F66" s="17"/>
      <c r="G66" s="19"/>
      <c r="H66" s="19"/>
      <c r="I66" s="13"/>
      <c r="J66" s="13"/>
      <c r="K66" s="13"/>
      <c r="L66" s="13"/>
      <c r="M66" s="15" t="s">
        <v>11</v>
      </c>
      <c r="N66" s="15">
        <f>(C68 * IFERROR(VLOOKUP(D68,LunchTable[],2,FALSE),0)) + (C69 * IFERROR(VLOOKUP(D69,LunchTable[],2,FALSE),0)) + (C70 * IFERROR(VLOOKUP(D70,LunchTable[],2,FALSE),0)) + (C71 * IFERROR(VLOOKUP(D71,LunchTable[],2,FALSE),0))</f>
        <v>119.75</v>
      </c>
      <c r="O66" s="15">
        <f>(C68 * IFERROR(VLOOKUP(D68,LunchTable[],3,FALSE),0)) + (C69 * IFERROR(VLOOKUP(D69,LunchTable[],3,FALSE),0)) + (C70 * IFERROR(VLOOKUP(D70,LunchTable[],3,FALSE),0)) + (C71 * IFERROR(VLOOKUP(D71,LunchTable[],3,FALSE),0))</f>
        <v>42.25</v>
      </c>
      <c r="P66" s="15">
        <f>(C68 * IFERROR(VLOOKUP(D68,LunchTable[],4,FALSE),0)) + (C69 * IFERROR(VLOOKUP(D69,LunchTable[],4,FALSE),0)) + (C70 * IFERROR(VLOOKUP(D70,LunchTable[],4,FALSE),0)) + (C71 * IFERROR(VLOOKUP(D71,LunchTable[],4,FALSE),0))</f>
        <v>54</v>
      </c>
    </row>
    <row r="67" spans="1:16" ht="18" thickBot="1" x14ac:dyDescent="0.35">
      <c r="A67" s="10" t="s">
        <v>34</v>
      </c>
      <c r="B67" s="11" t="s">
        <v>6</v>
      </c>
      <c r="C67" s="10" t="s">
        <v>34</v>
      </c>
      <c r="D67" s="11" t="s">
        <v>11</v>
      </c>
      <c r="E67" s="10" t="s">
        <v>34</v>
      </c>
      <c r="F67" s="11" t="s">
        <v>12</v>
      </c>
      <c r="G67" s="10" t="s">
        <v>34</v>
      </c>
      <c r="H67" s="12" t="s">
        <v>35</v>
      </c>
      <c r="I67" s="5" t="s">
        <v>41</v>
      </c>
      <c r="J67" s="5" t="s">
        <v>42</v>
      </c>
      <c r="K67" s="5" t="s">
        <v>43</v>
      </c>
      <c r="L67" s="13"/>
      <c r="M67" s="15" t="s">
        <v>12</v>
      </c>
      <c r="N67" s="15">
        <f>(E68 * IFERROR(VLOOKUP(F68,DinnerTable[],2,FALSE),0)) + (E69 * IFERROR(VLOOKUP(F69,DinnerTable[],2,FALSE),0)) + (E70 * IFERROR(VLOOKUP(F70,DinnerTable[],2,FALSE),0)) + (E71 * IFERROR(VLOOKUP(F71,DinnerTable[],2,FALSE),0))</f>
        <v>55.5</v>
      </c>
      <c r="O67" s="15">
        <f>(E68 * IFERROR(VLOOKUP(F68,DinnerTable[],3,FALSE),0)) + (E69 * IFERROR(VLOOKUP(F69,DinnerTable[],3,FALSE),0)) + (E70 * IFERROR(VLOOKUP(F70,DinnerTable[],3,FALSE),0)) + (E71 * IFERROR(VLOOKUP(F71,DinnerTable[],3,FALSE),0))</f>
        <v>38.1</v>
      </c>
      <c r="P67" s="15">
        <f>(E68 * IFERROR(VLOOKUP(F68,DinnerTable[],4,FALSE),0)) + (E69 * IFERROR(VLOOKUP(F69,DinnerTable[],4,FALSE),0)) + (E70 * IFERROR(VLOOKUP(F70,DinnerTable[],4,FALSE),0)) + (E71 * IFERROR(VLOOKUP(F71,DinnerTable[],4,FALSE),0))</f>
        <v>143.80000000000001</v>
      </c>
    </row>
    <row r="68" spans="1:16" ht="15.75" thickTop="1" x14ac:dyDescent="0.25">
      <c r="A68" s="17">
        <v>1</v>
      </c>
      <c r="B68" s="17" t="s">
        <v>87</v>
      </c>
      <c r="C68" s="17">
        <v>0.5</v>
      </c>
      <c r="D68" s="17" t="s">
        <v>60</v>
      </c>
      <c r="E68" s="17">
        <v>0.5</v>
      </c>
      <c r="F68" s="17" t="s">
        <v>45</v>
      </c>
      <c r="G68" s="17"/>
      <c r="H68" s="17"/>
      <c r="I68" s="2">
        <v>22</v>
      </c>
      <c r="J68" s="2">
        <v>25</v>
      </c>
      <c r="K68" s="2">
        <v>74</v>
      </c>
      <c r="L68" s="13"/>
      <c r="M68" s="15" t="s">
        <v>35</v>
      </c>
      <c r="N68" s="15">
        <f>(G68 * IFERROR(VLOOKUP(H68,PostWorkoutTable[],2,FALSE),0)) + (G69 * IFERROR(VLOOKUP(H69,PostWorkoutTable[],2,FALSE),0)) + (G70 * IFERROR(VLOOKUP(H70,PostWorkoutTable[],2,FALSE),0)) + (G71 * IFERROR(VLOOKUP(H71,PostWorkoutTable[],2,FALSE),0))</f>
        <v>0</v>
      </c>
      <c r="O68" s="15">
        <f>(G68 * IFERROR(VLOOKUP(H68,PostWorkoutTable[],3,FALSE),0)) + (G69 * IFERROR(VLOOKUP(H69,PostWorkoutTable[],3,FALSE),0)) + (G70 * IFERROR(VLOOKUP(H70,PostWorkoutTable[],3,FALSE),0)) + (G71 * IFERROR(VLOOKUP(H71,PostWorkoutTable[],3,FALSE),0))</f>
        <v>0</v>
      </c>
      <c r="P68" s="15">
        <f>(G68 * IFERROR(VLOOKUP(H68,PostWorkoutTable[],4,FALSE),0)) + (G69 * IFERROR(VLOOKUP(H69,PostWorkoutTable[],4,FALSE),0)) + (G70 * IFERROR(VLOOKUP(H70,PostWorkoutTable[],4,FALSE),0)) + (G71 * IFERROR(VLOOKUP(H71,PostWorkoutTable[],4,FALSE),0))</f>
        <v>0</v>
      </c>
    </row>
    <row r="69" spans="1:16" x14ac:dyDescent="0.25">
      <c r="A69" s="17">
        <v>1</v>
      </c>
      <c r="B69" s="17" t="s">
        <v>27</v>
      </c>
      <c r="C69" s="17">
        <v>3</v>
      </c>
      <c r="D69" s="17" t="s">
        <v>22</v>
      </c>
      <c r="E69" s="17">
        <v>1</v>
      </c>
      <c r="F69" s="17" t="s">
        <v>91</v>
      </c>
      <c r="G69" s="17"/>
      <c r="H69" s="17"/>
      <c r="I69" s="2"/>
      <c r="J69" s="2"/>
      <c r="K69" s="2"/>
      <c r="L69" s="13"/>
      <c r="M69" s="15" t="s">
        <v>21</v>
      </c>
      <c r="N69" s="15">
        <f xml:space="preserve"> SUM(I68:I71)</f>
        <v>22</v>
      </c>
      <c r="O69" s="15">
        <f>SUM(J68:J71)</f>
        <v>25</v>
      </c>
      <c r="P69" s="15">
        <f>SUM(K68:K71)</f>
        <v>74</v>
      </c>
    </row>
    <row r="70" spans="1:16" x14ac:dyDescent="0.25">
      <c r="A70" s="17"/>
      <c r="B70" s="17"/>
      <c r="C70" s="17"/>
      <c r="D70" s="17"/>
      <c r="E70" s="17">
        <v>0.5</v>
      </c>
      <c r="F70" s="17" t="s">
        <v>92</v>
      </c>
      <c r="G70" s="17"/>
      <c r="H70" s="17"/>
      <c r="I70" s="2"/>
      <c r="J70" s="2"/>
      <c r="K70" s="2"/>
      <c r="L70" s="13"/>
      <c r="M70" s="15" t="s">
        <v>38</v>
      </c>
      <c r="N70" s="15">
        <f>SUM(N65:N69)</f>
        <v>218.85</v>
      </c>
      <c r="O70" s="15">
        <f>SUM(O65:O69)</f>
        <v>113.85</v>
      </c>
      <c r="P70" s="15">
        <f>SUM(P65:P69)</f>
        <v>336.1</v>
      </c>
    </row>
    <row r="71" spans="1:16" x14ac:dyDescent="0.25">
      <c r="A71" s="17"/>
      <c r="B71" s="17"/>
      <c r="C71" s="17"/>
      <c r="D71" s="17"/>
      <c r="E71" s="17">
        <v>1</v>
      </c>
      <c r="F71" s="17" t="s">
        <v>79</v>
      </c>
      <c r="G71" s="17"/>
      <c r="H71" s="17"/>
      <c r="I71" s="2"/>
      <c r="J71" s="2"/>
      <c r="K71" s="2"/>
      <c r="L71" s="13"/>
      <c r="M71" s="13"/>
      <c r="N71" s="13"/>
      <c r="O71" s="13"/>
      <c r="P71" s="13"/>
    </row>
    <row r="72" spans="1:16" x14ac:dyDescent="0.25">
      <c r="A72" s="13"/>
      <c r="B72" s="13"/>
      <c r="C72" s="13"/>
      <c r="D72" s="13"/>
      <c r="E72" s="13"/>
      <c r="F72" s="13"/>
      <c r="G72" s="13"/>
      <c r="H72" s="13"/>
      <c r="I72" s="13"/>
      <c r="J72" s="13"/>
      <c r="K72" s="13"/>
      <c r="L72" s="13"/>
      <c r="M72" s="13"/>
      <c r="N72" s="13"/>
      <c r="O72" s="13"/>
      <c r="P72" s="13"/>
    </row>
    <row r="73" spans="1:16" ht="23.25" x14ac:dyDescent="0.35">
      <c r="A73" s="21">
        <v>43504</v>
      </c>
      <c r="B73" s="13"/>
      <c r="C73" s="13"/>
      <c r="D73" s="13"/>
      <c r="E73" s="13"/>
      <c r="F73" s="13"/>
      <c r="G73" s="13"/>
      <c r="H73" s="13"/>
      <c r="I73" s="13"/>
      <c r="J73" s="13"/>
      <c r="K73" s="13"/>
      <c r="L73" s="13"/>
      <c r="M73" s="13"/>
      <c r="N73" s="13"/>
      <c r="O73" s="13"/>
      <c r="P73" s="13"/>
    </row>
    <row r="74" spans="1:16" ht="18" thickBot="1" x14ac:dyDescent="0.35">
      <c r="A74" s="3" t="s">
        <v>48</v>
      </c>
      <c r="B74" s="3" t="s">
        <v>0</v>
      </c>
      <c r="C74" s="3" t="s">
        <v>36</v>
      </c>
      <c r="D74" s="3" t="s">
        <v>8</v>
      </c>
      <c r="E74" s="5" t="s">
        <v>9</v>
      </c>
      <c r="F74" s="5" t="s">
        <v>10</v>
      </c>
      <c r="G74" s="14"/>
      <c r="H74" s="19"/>
      <c r="I74" s="13"/>
      <c r="J74" s="13"/>
      <c r="K74" s="13"/>
      <c r="L74" s="13"/>
      <c r="M74" s="14"/>
      <c r="N74" s="15" t="s">
        <v>8</v>
      </c>
      <c r="O74" s="15" t="s">
        <v>9</v>
      </c>
      <c r="P74" s="15" t="s">
        <v>10</v>
      </c>
    </row>
    <row r="75" spans="1:16" ht="15.75" thickTop="1" x14ac:dyDescent="0.25">
      <c r="A75" s="18">
        <v>43500</v>
      </c>
      <c r="B75" s="16">
        <f>IFERROR(VLOOKUP(A75,OverviewTable[],2,FALSE),"?")</f>
        <v>127</v>
      </c>
      <c r="C75" s="16" t="str">
        <f>((N80 * 4) + (O80 * 9) + (P80 * 4))&amp;"/"&amp;IFERROR(VLOOKUP(A75,OverviewTable[],11,FALSE),"?")</f>
        <v>2103.3/2282</v>
      </c>
      <c r="D75" s="16" t="str">
        <f>N80&amp;"/"&amp;IFERROR(VLOOKUP(A75,OverviewTable[],12,FALSE),"?")</f>
        <v>117.7/127</v>
      </c>
      <c r="E75" s="16" t="str">
        <f>O80&amp;"/"&amp;IFERROR(VLOOKUP(A75,OverviewTable[],13,FALSE),"?")</f>
        <v>69.3/63</v>
      </c>
      <c r="F75" s="16" t="str">
        <f>P80&amp;"/"&amp;IFERROR(VLOOKUP(A75,OverviewTable[],14,FALSE),"?")</f>
        <v>252.2/302</v>
      </c>
      <c r="G75" s="19"/>
      <c r="H75" s="19"/>
      <c r="I75" s="13"/>
      <c r="J75" s="13"/>
      <c r="K75" s="13"/>
      <c r="L75" s="13"/>
      <c r="M75" s="15" t="s">
        <v>6</v>
      </c>
      <c r="N75" s="15">
        <f>(A78 * IFERROR(VLOOKUP(B78,BreakfastTable[],2,FALSE),0)) + (A79 * IFERROR(VLOOKUP(B79,BreakfastTable[],2,FALSE),0)) + (A80 * IFERROR(VLOOKUP(B80,BreakfastTable[],2,FALSE),0)) + (A81 * IFERROR(VLOOKUP(B81,BreakfastTable[],2,FALSE),0))</f>
        <v>32.200000000000003</v>
      </c>
      <c r="O75" s="15">
        <f>(A78 * IFERROR(VLOOKUP(B78,BreakfastTable[],3,FALSE),0)) + (A79 * IFERROR(VLOOKUP(B79,BreakfastTable[],3,FALSE),0)) + (A80 * IFERROR(VLOOKUP(B80,BreakfastTable[],3,FALSE),0)) + (A81 * IFERROR(VLOOKUP(B81,BreakfastTable[],3,FALSE),0))</f>
        <v>14.7</v>
      </c>
      <c r="P75" s="15">
        <f>(A78 * IFERROR(VLOOKUP(B78,BreakfastTable[],4,FALSE),0)) + (A79 * IFERROR(VLOOKUP(B79,BreakfastTable[],4,FALSE),0)) + (A80 * IFERROR(VLOOKUP(B80,BreakfastTable[],4,FALSE),0)) + (A81 * IFERROR(VLOOKUP(B81,BreakfastTable[],4,FALSE),0))</f>
        <v>55.4</v>
      </c>
    </row>
    <row r="76" spans="1:16" x14ac:dyDescent="0.25">
      <c r="A76" s="17"/>
      <c r="B76" s="17"/>
      <c r="C76" s="17"/>
      <c r="D76" s="17"/>
      <c r="E76" s="17"/>
      <c r="F76" s="17"/>
      <c r="G76" s="19"/>
      <c r="H76" s="19"/>
      <c r="I76" s="13"/>
      <c r="J76" s="13"/>
      <c r="K76" s="13"/>
      <c r="L76" s="13"/>
      <c r="M76" s="15" t="s">
        <v>11</v>
      </c>
      <c r="N76" s="15">
        <f>(C78 * IFERROR(VLOOKUP(D78,LunchTable[],2,FALSE),0)) + (C79 * IFERROR(VLOOKUP(D79,LunchTable[],2,FALSE),0)) + (C80 * IFERROR(VLOOKUP(D80,LunchTable[],2,FALSE),0)) + (C81 * IFERROR(VLOOKUP(D81,LunchTable[],2,FALSE),0))</f>
        <v>55.5</v>
      </c>
      <c r="O76" s="15">
        <f>(C78 * IFERROR(VLOOKUP(D78,LunchTable[],3,FALSE),0)) + (C79 * IFERROR(VLOOKUP(D79,LunchTable[],3,FALSE),0)) + (C80 * IFERROR(VLOOKUP(D80,LunchTable[],3,FALSE),0)) + (C81 * IFERROR(VLOOKUP(D81,LunchTable[],3,FALSE),0))</f>
        <v>38.1</v>
      </c>
      <c r="P76" s="15">
        <f>(C78 * IFERROR(VLOOKUP(D78,LunchTable[],4,FALSE),0)) + (C79 * IFERROR(VLOOKUP(D79,LunchTable[],4,FALSE),0)) + (C80 * IFERROR(VLOOKUP(D80,LunchTable[],4,FALSE),0)) + (C81 * IFERROR(VLOOKUP(D81,LunchTable[],4,FALSE),0))</f>
        <v>143.80000000000001</v>
      </c>
    </row>
    <row r="77" spans="1:16" ht="18" thickBot="1" x14ac:dyDescent="0.35">
      <c r="A77" s="10" t="s">
        <v>34</v>
      </c>
      <c r="B77" s="11" t="s">
        <v>6</v>
      </c>
      <c r="C77" s="10" t="s">
        <v>34</v>
      </c>
      <c r="D77" s="11" t="s">
        <v>11</v>
      </c>
      <c r="E77" s="10" t="s">
        <v>34</v>
      </c>
      <c r="F77" s="11" t="s">
        <v>12</v>
      </c>
      <c r="G77" s="10" t="s">
        <v>34</v>
      </c>
      <c r="H77" s="12" t="s">
        <v>35</v>
      </c>
      <c r="I77" s="5" t="s">
        <v>41</v>
      </c>
      <c r="J77" s="5" t="s">
        <v>42</v>
      </c>
      <c r="K77" s="5" t="s">
        <v>43</v>
      </c>
      <c r="L77" s="13"/>
      <c r="M77" s="15" t="s">
        <v>12</v>
      </c>
      <c r="N77" s="15">
        <f>(E78 * IFERROR(VLOOKUP(F78,DinnerTable[],2,FALSE),0)) + (E79 * IFERROR(VLOOKUP(F79,DinnerTable[],2,FALSE),0)) + (E80 * IFERROR(VLOOKUP(F80,DinnerTable[],2,FALSE),0)) + (E81 * IFERROR(VLOOKUP(F81,DinnerTable[],2,FALSE),0))</f>
        <v>30</v>
      </c>
      <c r="O77" s="15">
        <f>(E78 * IFERROR(VLOOKUP(F78,DinnerTable[],3,FALSE),0)) + (E79 * IFERROR(VLOOKUP(F79,DinnerTable[],3,FALSE),0)) + (E80 * IFERROR(VLOOKUP(F80,DinnerTable[],3,FALSE),0)) + (E81 * IFERROR(VLOOKUP(F81,DinnerTable[],3,FALSE),0))</f>
        <v>16.5</v>
      </c>
      <c r="P77" s="15">
        <f>(E78 * IFERROR(VLOOKUP(F78,DinnerTable[],4,FALSE),0)) + (E79 * IFERROR(VLOOKUP(F79,DinnerTable[],4,FALSE),0)) + (E80 * IFERROR(VLOOKUP(F80,DinnerTable[],4,FALSE),0)) + (E81 * IFERROR(VLOOKUP(F81,DinnerTable[],4,FALSE),0))</f>
        <v>53</v>
      </c>
    </row>
    <row r="78" spans="1:16" ht="15.75" thickTop="1" x14ac:dyDescent="0.25">
      <c r="A78" s="17">
        <v>1</v>
      </c>
      <c r="B78" s="17" t="s">
        <v>97</v>
      </c>
      <c r="C78" s="17">
        <v>0.5</v>
      </c>
      <c r="D78" s="17" t="s">
        <v>45</v>
      </c>
      <c r="E78" s="17">
        <v>3</v>
      </c>
      <c r="F78" s="17" t="s">
        <v>29</v>
      </c>
      <c r="G78" s="17"/>
      <c r="H78" s="17"/>
      <c r="I78" s="2"/>
      <c r="J78" s="2"/>
      <c r="K78" s="2"/>
      <c r="L78" s="13"/>
      <c r="M78" s="15" t="s">
        <v>35</v>
      </c>
      <c r="N78" s="15">
        <f>(G78 * IFERROR(VLOOKUP(H78,PostWorkoutTable[],2,FALSE),0)) + (G79 * IFERROR(VLOOKUP(H79,PostWorkoutTable[],2,FALSE),0)) + (G80 * IFERROR(VLOOKUP(H80,PostWorkoutTable[],2,FALSE),0)) + (G81 * IFERROR(VLOOKUP(H81,PostWorkoutTable[],2,FALSE),0))</f>
        <v>0</v>
      </c>
      <c r="O78" s="15">
        <f>(G78 * IFERROR(VLOOKUP(H78,PostWorkoutTable[],3,FALSE),0)) + (G79 * IFERROR(VLOOKUP(H79,PostWorkoutTable[],3,FALSE),0)) + (G80 * IFERROR(VLOOKUP(H80,PostWorkoutTable[],3,FALSE),0)) + (G81 * IFERROR(VLOOKUP(H81,PostWorkoutTable[],3,FALSE),0))</f>
        <v>0</v>
      </c>
      <c r="P78" s="15">
        <f>(G78 * IFERROR(VLOOKUP(H78,PostWorkoutTable[],4,FALSE),0)) + (G79 * IFERROR(VLOOKUP(H79,PostWorkoutTable[],4,FALSE),0)) + (G80 * IFERROR(VLOOKUP(H80,PostWorkoutTable[],4,FALSE),0)) + (G81 * IFERROR(VLOOKUP(H81,PostWorkoutTable[],4,FALSE),0))</f>
        <v>0</v>
      </c>
    </row>
    <row r="79" spans="1:16" x14ac:dyDescent="0.25">
      <c r="A79" s="17"/>
      <c r="B79" s="17"/>
      <c r="C79" s="17">
        <v>1</v>
      </c>
      <c r="D79" s="17" t="s">
        <v>91</v>
      </c>
      <c r="E79" s="17">
        <v>1</v>
      </c>
      <c r="F79" s="17" t="s">
        <v>23</v>
      </c>
      <c r="G79" s="17"/>
      <c r="H79" s="17"/>
      <c r="I79" s="2"/>
      <c r="J79" s="2"/>
      <c r="K79" s="2"/>
      <c r="L79" s="13"/>
      <c r="M79" s="15" t="s">
        <v>21</v>
      </c>
      <c r="N79" s="15">
        <f xml:space="preserve"> SUM(I78:I81)</f>
        <v>0</v>
      </c>
      <c r="O79" s="15">
        <f>SUM(J78:J81)</f>
        <v>0</v>
      </c>
      <c r="P79" s="15">
        <f>SUM(K78:K81)</f>
        <v>0</v>
      </c>
    </row>
    <row r="80" spans="1:16" x14ac:dyDescent="0.25">
      <c r="A80" s="17"/>
      <c r="B80" s="17"/>
      <c r="C80" s="17">
        <v>0.5</v>
      </c>
      <c r="D80" s="17" t="s">
        <v>92</v>
      </c>
      <c r="E80" s="17"/>
      <c r="F80" s="17"/>
      <c r="G80" s="17"/>
      <c r="H80" s="17"/>
      <c r="I80" s="2"/>
      <c r="J80" s="2"/>
      <c r="K80" s="2"/>
      <c r="L80" s="13"/>
      <c r="M80" s="15" t="s">
        <v>38</v>
      </c>
      <c r="N80" s="15">
        <f>SUM(N75:N79)</f>
        <v>117.7</v>
      </c>
      <c r="O80" s="15">
        <f>SUM(O75:O79)</f>
        <v>69.3</v>
      </c>
      <c r="P80" s="15">
        <f>SUM(P75:P79)</f>
        <v>252.20000000000002</v>
      </c>
    </row>
    <row r="81" spans="1:16" x14ac:dyDescent="0.25">
      <c r="A81" s="17"/>
      <c r="B81" s="17"/>
      <c r="C81" s="17">
        <v>1</v>
      </c>
      <c r="D81" s="17" t="s">
        <v>79</v>
      </c>
      <c r="E81" s="17"/>
      <c r="F81" s="17"/>
      <c r="G81" s="17"/>
      <c r="H81" s="17"/>
      <c r="I81" s="2"/>
      <c r="J81" s="2"/>
      <c r="K81" s="2"/>
      <c r="L81" s="13"/>
      <c r="M81" s="13"/>
      <c r="N81" s="13"/>
      <c r="O81" s="13"/>
      <c r="P81" s="13"/>
    </row>
    <row r="82" spans="1:16" x14ac:dyDescent="0.25">
      <c r="A82" s="13"/>
      <c r="B82" s="13"/>
      <c r="C82" s="13"/>
      <c r="D82" s="13"/>
      <c r="E82" s="13"/>
      <c r="F82" s="13"/>
      <c r="G82" s="13"/>
      <c r="H82" s="13"/>
      <c r="I82" s="13"/>
      <c r="J82" s="13"/>
      <c r="K82" s="13"/>
      <c r="L82" s="13"/>
      <c r="M82" s="13"/>
      <c r="N82" s="13"/>
      <c r="O82" s="13"/>
      <c r="P82" s="13"/>
    </row>
    <row r="83" spans="1:16" ht="23.25" x14ac:dyDescent="0.35">
      <c r="A83" s="21">
        <v>43505</v>
      </c>
      <c r="B83" s="13"/>
      <c r="C83" s="13"/>
      <c r="D83" s="13"/>
      <c r="E83" s="13"/>
      <c r="F83" s="13"/>
      <c r="G83" s="13"/>
      <c r="H83" s="13"/>
      <c r="I83" s="13"/>
      <c r="J83" s="13"/>
      <c r="K83" s="13"/>
      <c r="L83" s="13"/>
      <c r="M83" s="13"/>
      <c r="N83" s="13"/>
      <c r="O83" s="13"/>
      <c r="P83" s="13"/>
    </row>
    <row r="84" spans="1:16" ht="18" thickBot="1" x14ac:dyDescent="0.35">
      <c r="A84" s="3" t="s">
        <v>48</v>
      </c>
      <c r="B84" s="3" t="s">
        <v>0</v>
      </c>
      <c r="C84" s="3" t="s">
        <v>36</v>
      </c>
      <c r="D84" s="3" t="s">
        <v>8</v>
      </c>
      <c r="E84" s="5" t="s">
        <v>9</v>
      </c>
      <c r="F84" s="5" t="s">
        <v>10</v>
      </c>
      <c r="G84" s="14"/>
      <c r="H84" s="19"/>
      <c r="I84" s="13"/>
      <c r="J84" s="13"/>
      <c r="K84" s="13"/>
      <c r="L84" s="13"/>
      <c r="M84" s="14"/>
      <c r="N84" s="15" t="s">
        <v>8</v>
      </c>
      <c r="O84" s="15" t="s">
        <v>9</v>
      </c>
      <c r="P84" s="15" t="s">
        <v>10</v>
      </c>
    </row>
    <row r="85" spans="1:16" ht="15.75" thickTop="1" x14ac:dyDescent="0.25">
      <c r="A85" s="18">
        <v>43500</v>
      </c>
      <c r="B85" s="16">
        <f>IFERROR(VLOOKUP(A85,OverviewTable[],2,FALSE),"?")</f>
        <v>127</v>
      </c>
      <c r="C85" s="16" t="str">
        <f>((N90 * 4) + (O90 * 9) + (P90 * 4))&amp;"/"&amp;IFERROR(VLOOKUP(A85,OverviewTable[],11,FALSE),"?")</f>
        <v>1582/2282</v>
      </c>
      <c r="D85" s="16" t="str">
        <f>N90&amp;"/"&amp;IFERROR(VLOOKUP(A85,OverviewTable[],12,FALSE),"?")</f>
        <v>65/127</v>
      </c>
      <c r="E85" s="16" t="str">
        <f>O90&amp;"/"&amp;IFERROR(VLOOKUP(A85,OverviewTable[],13,FALSE),"?")</f>
        <v>70/63</v>
      </c>
      <c r="F85" s="16" t="str">
        <f>P90&amp;"/"&amp;IFERROR(VLOOKUP(A85,OverviewTable[],14,FALSE),"?")</f>
        <v>173/302</v>
      </c>
      <c r="G85" s="19"/>
      <c r="H85" s="19"/>
      <c r="I85" s="13"/>
      <c r="J85" s="13"/>
      <c r="K85" s="13"/>
      <c r="L85" s="13"/>
      <c r="M85" s="15" t="s">
        <v>6</v>
      </c>
      <c r="N85" s="15">
        <f>(A88 * IFERROR(VLOOKUP(B88,BreakfastTable[],2,FALSE),0)) + (A89 * IFERROR(VLOOKUP(B89,BreakfastTable[],2,FALSE),0)) + (A90 * IFERROR(VLOOKUP(B90,BreakfastTable[],2,FALSE),0)) + (A91 * IFERROR(VLOOKUP(B91,BreakfastTable[],2,FALSE),0))</f>
        <v>0</v>
      </c>
      <c r="O85" s="15">
        <f>(A88 * IFERROR(VLOOKUP(B88,BreakfastTable[],3,FALSE),0)) + (A89 * IFERROR(VLOOKUP(B89,BreakfastTable[],3,FALSE),0)) + (A90 * IFERROR(VLOOKUP(B90,BreakfastTable[],3,FALSE),0)) + (A91 * IFERROR(VLOOKUP(B91,BreakfastTable[],3,FALSE),0))</f>
        <v>0</v>
      </c>
      <c r="P85" s="15">
        <f>(A88 * IFERROR(VLOOKUP(B88,BreakfastTable[],4,FALSE),0)) + (A89 * IFERROR(VLOOKUP(B89,BreakfastTable[],4,FALSE),0)) + (A90 * IFERROR(VLOOKUP(B90,BreakfastTable[],4,FALSE),0)) + (A91 * IFERROR(VLOOKUP(B91,BreakfastTable[],4,FALSE),0))</f>
        <v>0</v>
      </c>
    </row>
    <row r="86" spans="1:16" x14ac:dyDescent="0.25">
      <c r="A86" s="17"/>
      <c r="B86" s="17"/>
      <c r="C86" s="17"/>
      <c r="D86" s="17"/>
      <c r="E86" s="17"/>
      <c r="F86" s="17"/>
      <c r="G86" s="19"/>
      <c r="H86" s="19"/>
      <c r="I86" s="13"/>
      <c r="J86" s="13"/>
      <c r="K86" s="13"/>
      <c r="L86" s="13"/>
      <c r="M86" s="15" t="s">
        <v>11</v>
      </c>
      <c r="N86" s="15">
        <f>(C88 * IFERROR(VLOOKUP(D88,LunchTable[],2,FALSE),0)) + (C89 * IFERROR(VLOOKUP(D89,LunchTable[],2,FALSE),0)) + (C90 * IFERROR(VLOOKUP(D90,LunchTable[],2,FALSE),0)) + (C91 * IFERROR(VLOOKUP(D91,LunchTable[],2,FALSE),0))</f>
        <v>0</v>
      </c>
      <c r="O86" s="15">
        <f>(C88 * IFERROR(VLOOKUP(D88,LunchTable[],3,FALSE),0)) + (C89 * IFERROR(VLOOKUP(D89,LunchTable[],3,FALSE),0)) + (C90 * IFERROR(VLOOKUP(D90,LunchTable[],3,FALSE),0)) + (C91 * IFERROR(VLOOKUP(D91,LunchTable[],3,FALSE),0))</f>
        <v>0</v>
      </c>
      <c r="P86" s="15">
        <f>(C88 * IFERROR(VLOOKUP(D88,LunchTable[],4,FALSE),0)) + (C89 * IFERROR(VLOOKUP(D89,LunchTable[],4,FALSE),0)) + (C90 * IFERROR(VLOOKUP(D90,LunchTable[],4,FALSE),0)) + (C91 * IFERROR(VLOOKUP(D91,LunchTable[],4,FALSE),0))</f>
        <v>0</v>
      </c>
    </row>
    <row r="87" spans="1:16" ht="18" thickBot="1" x14ac:dyDescent="0.35">
      <c r="A87" s="10" t="s">
        <v>34</v>
      </c>
      <c r="B87" s="11" t="s">
        <v>6</v>
      </c>
      <c r="C87" s="10" t="s">
        <v>34</v>
      </c>
      <c r="D87" s="11" t="s">
        <v>11</v>
      </c>
      <c r="E87" s="10" t="s">
        <v>34</v>
      </c>
      <c r="F87" s="11" t="s">
        <v>12</v>
      </c>
      <c r="G87" s="10" t="s">
        <v>34</v>
      </c>
      <c r="H87" s="12" t="s">
        <v>35</v>
      </c>
      <c r="I87" s="5" t="s">
        <v>41</v>
      </c>
      <c r="J87" s="5" t="s">
        <v>42</v>
      </c>
      <c r="K87" s="5" t="s">
        <v>43</v>
      </c>
      <c r="L87" s="13"/>
      <c r="M87" s="15" t="s">
        <v>12</v>
      </c>
      <c r="N87" s="15">
        <f>(E88 * IFERROR(VLOOKUP(F88,DinnerTable[],2,FALSE),0)) + (E89 * IFERROR(VLOOKUP(F89,DinnerTable[],2,FALSE),0)) + (E90 * IFERROR(VLOOKUP(F90,DinnerTable[],2,FALSE),0)) + (E91 * IFERROR(VLOOKUP(F91,DinnerTable[],2,FALSE),0))</f>
        <v>35</v>
      </c>
      <c r="O87" s="15">
        <f>(E88 * IFERROR(VLOOKUP(F88,DinnerTable[],3,FALSE),0)) + (E89 * IFERROR(VLOOKUP(F89,DinnerTable[],3,FALSE),0)) + (E90 * IFERROR(VLOOKUP(F90,DinnerTable[],3,FALSE),0)) + (E91 * IFERROR(VLOOKUP(F91,DinnerTable[],3,FALSE),0))</f>
        <v>50</v>
      </c>
      <c r="P87" s="15">
        <f>(E88 * IFERROR(VLOOKUP(F88,DinnerTable[],4,FALSE),0)) + (E89 * IFERROR(VLOOKUP(F89,DinnerTable[],4,FALSE),0)) + (E90 * IFERROR(VLOOKUP(F90,DinnerTable[],4,FALSE),0)) + (E91 * IFERROR(VLOOKUP(F91,DinnerTable[],4,FALSE),0))</f>
        <v>60</v>
      </c>
    </row>
    <row r="88" spans="1:16" ht="15.75" thickTop="1" x14ac:dyDescent="0.25">
      <c r="A88" s="17"/>
      <c r="B88" s="17"/>
      <c r="C88" s="17"/>
      <c r="D88" s="17"/>
      <c r="E88" s="17">
        <v>0.5</v>
      </c>
      <c r="F88" s="17" t="s">
        <v>28</v>
      </c>
      <c r="G88" s="17"/>
      <c r="H88" s="17"/>
      <c r="I88" s="2">
        <v>30</v>
      </c>
      <c r="J88" s="2">
        <v>20</v>
      </c>
      <c r="K88" s="2">
        <v>39</v>
      </c>
      <c r="L88" s="13"/>
      <c r="M88" s="15" t="s">
        <v>35</v>
      </c>
      <c r="N88" s="15">
        <f>(G88 * IFERROR(VLOOKUP(H88,PostWorkoutTable[],2,FALSE),0)) + (G89 * IFERROR(VLOOKUP(H89,PostWorkoutTable[],2,FALSE),0)) + (G90 * IFERROR(VLOOKUP(H90,PostWorkoutTable[],2,FALSE),0)) + (G91 * IFERROR(VLOOKUP(H91,PostWorkoutTable[],2,FALSE),0))</f>
        <v>0</v>
      </c>
      <c r="O88" s="15">
        <f>(G88 * IFERROR(VLOOKUP(H88,PostWorkoutTable[],3,FALSE),0)) + (G89 * IFERROR(VLOOKUP(H89,PostWorkoutTable[],3,FALSE),0)) + (G90 * IFERROR(VLOOKUP(H90,PostWorkoutTable[],3,FALSE),0)) + (G91 * IFERROR(VLOOKUP(H91,PostWorkoutTable[],3,FALSE),0))</f>
        <v>0</v>
      </c>
      <c r="P88" s="15">
        <f>(G88 * IFERROR(VLOOKUP(H88,PostWorkoutTable[],4,FALSE),0)) + (G89 * IFERROR(VLOOKUP(H89,PostWorkoutTable[],4,FALSE),0)) + (G90 * IFERROR(VLOOKUP(H90,PostWorkoutTable[],4,FALSE),0)) + (G91 * IFERROR(VLOOKUP(H91,PostWorkoutTable[],4,FALSE),0))</f>
        <v>0</v>
      </c>
    </row>
    <row r="89" spans="1:16" x14ac:dyDescent="0.25">
      <c r="A89" s="17"/>
      <c r="B89" s="17"/>
      <c r="C89" s="17"/>
      <c r="D89" s="17"/>
      <c r="E89" s="17"/>
      <c r="F89" s="17"/>
      <c r="G89" s="17"/>
      <c r="H89" s="17"/>
      <c r="I89" s="2">
        <v>0</v>
      </c>
      <c r="J89" s="2">
        <v>0</v>
      </c>
      <c r="K89" s="2">
        <v>74</v>
      </c>
      <c r="L89" s="13"/>
      <c r="M89" s="15" t="s">
        <v>21</v>
      </c>
      <c r="N89" s="15">
        <f xml:space="preserve"> SUM(I88:I91)</f>
        <v>30</v>
      </c>
      <c r="O89" s="15">
        <f>SUM(J88:J91)</f>
        <v>20</v>
      </c>
      <c r="P89" s="15">
        <f>SUM(K88:K91)</f>
        <v>113</v>
      </c>
    </row>
    <row r="90" spans="1:16" x14ac:dyDescent="0.25">
      <c r="A90" s="17"/>
      <c r="B90" s="17"/>
      <c r="C90" s="17"/>
      <c r="D90" s="17"/>
      <c r="E90" s="17"/>
      <c r="F90" s="17"/>
      <c r="G90" s="17"/>
      <c r="H90" s="17"/>
      <c r="I90" s="2"/>
      <c r="J90" s="2"/>
      <c r="K90" s="2"/>
      <c r="L90" s="13"/>
      <c r="M90" s="15" t="s">
        <v>38</v>
      </c>
      <c r="N90" s="15">
        <f>SUM(N85:N89)</f>
        <v>65</v>
      </c>
      <c r="O90" s="15">
        <f>SUM(O85:O89)</f>
        <v>70</v>
      </c>
      <c r="P90" s="15">
        <f>SUM(P85:P89)</f>
        <v>173</v>
      </c>
    </row>
    <row r="91" spans="1:16" x14ac:dyDescent="0.25">
      <c r="A91" s="17"/>
      <c r="B91" s="17"/>
      <c r="C91" s="17"/>
      <c r="D91" s="17"/>
      <c r="E91" s="17"/>
      <c r="F91" s="17"/>
      <c r="G91" s="17"/>
      <c r="H91" s="17"/>
      <c r="I91" s="2"/>
      <c r="J91" s="2"/>
      <c r="K91" s="2"/>
      <c r="L91" s="13"/>
      <c r="M91" s="13"/>
      <c r="N91" s="13"/>
      <c r="O91" s="13"/>
      <c r="P91" s="13"/>
    </row>
    <row r="92" spans="1:16" x14ac:dyDescent="0.25">
      <c r="A92" s="13"/>
      <c r="B92" s="13"/>
      <c r="C92" s="13"/>
      <c r="D92" s="13"/>
      <c r="E92" s="13"/>
      <c r="F92" s="13"/>
      <c r="G92" s="13"/>
      <c r="H92" s="13"/>
      <c r="I92" s="13"/>
      <c r="J92" s="13"/>
      <c r="K92" s="13"/>
      <c r="L92" s="13"/>
      <c r="M92" s="13"/>
      <c r="N92" s="13"/>
      <c r="O92" s="13"/>
      <c r="P92" s="13"/>
    </row>
    <row r="93" spans="1:16" ht="23.25" x14ac:dyDescent="0.35">
      <c r="A93" s="21">
        <v>43506</v>
      </c>
      <c r="B93" s="13"/>
      <c r="C93" s="13"/>
      <c r="D93" s="13"/>
      <c r="E93" s="13"/>
      <c r="F93" s="13"/>
      <c r="G93" s="13"/>
      <c r="H93" s="13"/>
      <c r="I93" s="13"/>
      <c r="J93" s="13"/>
      <c r="K93" s="13"/>
      <c r="L93" s="13"/>
      <c r="M93" s="13"/>
      <c r="N93" s="13"/>
      <c r="O93" s="13"/>
      <c r="P93" s="13"/>
    </row>
    <row r="94" spans="1:16" ht="18" thickBot="1" x14ac:dyDescent="0.35">
      <c r="A94" s="3" t="s">
        <v>48</v>
      </c>
      <c r="B94" s="3" t="s">
        <v>0</v>
      </c>
      <c r="C94" s="3" t="s">
        <v>36</v>
      </c>
      <c r="D94" s="3" t="s">
        <v>8</v>
      </c>
      <c r="E94" s="5" t="s">
        <v>9</v>
      </c>
      <c r="F94" s="5" t="s">
        <v>10</v>
      </c>
      <c r="G94" s="14"/>
      <c r="H94" s="19"/>
      <c r="I94" s="13"/>
      <c r="J94" s="13"/>
      <c r="K94" s="13"/>
      <c r="L94" s="13"/>
      <c r="M94" s="14"/>
      <c r="N94" s="15" t="s">
        <v>8</v>
      </c>
      <c r="O94" s="15" t="s">
        <v>9</v>
      </c>
      <c r="P94" s="15" t="s">
        <v>10</v>
      </c>
    </row>
    <row r="95" spans="1:16" ht="15.75" thickTop="1" x14ac:dyDescent="0.25">
      <c r="A95" s="18">
        <v>43500</v>
      </c>
      <c r="B95" s="16">
        <f>IFERROR(VLOOKUP(A95,OverviewTable[],2,FALSE),"?")</f>
        <v>127</v>
      </c>
      <c r="C95" s="16" t="str">
        <f>((N100 * 4) + (O100 * 9) + (P100 * 4))&amp;"/"&amp;IFERROR(VLOOKUP(A95,OverviewTable[],11,FALSE),"?")</f>
        <v>3084.7/2282</v>
      </c>
      <c r="D95" s="16" t="str">
        <f>N100&amp;"/"&amp;IFERROR(VLOOKUP(A95,OverviewTable[],12,FALSE),"?")</f>
        <v>139.2/127</v>
      </c>
      <c r="E95" s="16" t="str">
        <f>O100&amp;"/"&amp;IFERROR(VLOOKUP(A95,OverviewTable[],13,FALSE),"?")</f>
        <v>124.7/63</v>
      </c>
      <c r="F95" s="16" t="str">
        <f>P100&amp;"/"&amp;IFERROR(VLOOKUP(A95,OverviewTable[],14,FALSE),"?")</f>
        <v>351.4/302</v>
      </c>
      <c r="G95" s="19"/>
      <c r="H95" s="19"/>
      <c r="I95" s="13"/>
      <c r="J95" s="13"/>
      <c r="K95" s="13"/>
      <c r="L95" s="13"/>
      <c r="M95" s="15" t="s">
        <v>6</v>
      </c>
      <c r="N95" s="15">
        <f>(A98 * IFERROR(VLOOKUP(B98,BreakfastTable[],2,FALSE),0)) + (A99 * IFERROR(VLOOKUP(B99,BreakfastTable[],2,FALSE),0)) + (A100 * IFERROR(VLOOKUP(B100,BreakfastTable[],2,FALSE),0)) + (A101 * IFERROR(VLOOKUP(B101,BreakfastTable[],2,FALSE),0))</f>
        <v>32.200000000000003</v>
      </c>
      <c r="O95" s="15">
        <f>(A98 * IFERROR(VLOOKUP(B98,BreakfastTable[],3,FALSE),0)) + (A99 * IFERROR(VLOOKUP(B99,BreakfastTable[],3,FALSE),0)) + (A100 * IFERROR(VLOOKUP(B100,BreakfastTable[],3,FALSE),0)) + (A101 * IFERROR(VLOOKUP(B101,BreakfastTable[],3,FALSE),0))</f>
        <v>14.7</v>
      </c>
      <c r="P95" s="15">
        <f>(A98 * IFERROR(VLOOKUP(B98,BreakfastTable[],4,FALSE),0)) + (A99 * IFERROR(VLOOKUP(B99,BreakfastTable[],4,FALSE),0)) + (A100 * IFERROR(VLOOKUP(B100,BreakfastTable[],4,FALSE),0)) + (A101 * IFERROR(VLOOKUP(B101,BreakfastTable[],4,FALSE),0))</f>
        <v>55.4</v>
      </c>
    </row>
    <row r="96" spans="1:16" x14ac:dyDescent="0.25">
      <c r="A96" s="17"/>
      <c r="B96" s="17"/>
      <c r="C96" s="17"/>
      <c r="D96" s="17"/>
      <c r="E96" s="17"/>
      <c r="F96" s="17"/>
      <c r="G96" s="19"/>
      <c r="H96" s="19"/>
      <c r="I96" s="13"/>
      <c r="J96" s="13"/>
      <c r="K96" s="13"/>
      <c r="L96" s="13"/>
      <c r="M96" s="15" t="s">
        <v>11</v>
      </c>
      <c r="N96" s="15">
        <f>(C98 * IFERROR(VLOOKUP(D98,LunchTable[],2,FALSE),0)) + (C99 * IFERROR(VLOOKUP(D99,LunchTable[],2,FALSE),0)) + (C100 * IFERROR(VLOOKUP(D100,LunchTable[],2,FALSE),0)) + (C101 * IFERROR(VLOOKUP(D101,LunchTable[],2,FALSE),0))</f>
        <v>40</v>
      </c>
      <c r="O96" s="15">
        <f>(C98 * IFERROR(VLOOKUP(D98,LunchTable[],3,FALSE),0)) + (C99 * IFERROR(VLOOKUP(D99,LunchTable[],3,FALSE),0)) + (C100 * IFERROR(VLOOKUP(D100,LunchTable[],3,FALSE),0)) + (C101 * IFERROR(VLOOKUP(D101,LunchTable[],3,FALSE),0))</f>
        <v>67</v>
      </c>
      <c r="P96" s="15">
        <f>(C98 * IFERROR(VLOOKUP(D98,LunchTable[],4,FALSE),0)) + (C99 * IFERROR(VLOOKUP(D99,LunchTable[],4,FALSE),0)) + (C100 * IFERROR(VLOOKUP(D100,LunchTable[],4,FALSE),0)) + (C101 * IFERROR(VLOOKUP(D101,LunchTable[],4,FALSE),0))</f>
        <v>170</v>
      </c>
    </row>
    <row r="97" spans="1:16" ht="18" thickBot="1" x14ac:dyDescent="0.35">
      <c r="A97" s="10" t="s">
        <v>34</v>
      </c>
      <c r="B97" s="11" t="s">
        <v>6</v>
      </c>
      <c r="C97" s="10" t="s">
        <v>34</v>
      </c>
      <c r="D97" s="11" t="s">
        <v>11</v>
      </c>
      <c r="E97" s="10" t="s">
        <v>34</v>
      </c>
      <c r="F97" s="11" t="s">
        <v>12</v>
      </c>
      <c r="G97" s="10" t="s">
        <v>34</v>
      </c>
      <c r="H97" s="12" t="s">
        <v>35</v>
      </c>
      <c r="I97" s="5" t="s">
        <v>41</v>
      </c>
      <c r="J97" s="5" t="s">
        <v>42</v>
      </c>
      <c r="K97" s="5" t="s">
        <v>43</v>
      </c>
      <c r="L97" s="13"/>
      <c r="M97" s="15" t="s">
        <v>12</v>
      </c>
      <c r="N97" s="15">
        <f>(E98 * IFERROR(VLOOKUP(F98,DinnerTable[],2,FALSE),0)) + (E99 * IFERROR(VLOOKUP(F99,DinnerTable[],2,FALSE),0)) + (E100 * IFERROR(VLOOKUP(F100,DinnerTable[],2,FALSE),0)) + (E101 * IFERROR(VLOOKUP(F101,DinnerTable[],2,FALSE),0))</f>
        <v>67</v>
      </c>
      <c r="O97" s="15">
        <f>(E98 * IFERROR(VLOOKUP(F98,DinnerTable[],3,FALSE),0)) + (E99 * IFERROR(VLOOKUP(F99,DinnerTable[],3,FALSE),0)) + (E100 * IFERROR(VLOOKUP(F100,DinnerTable[],3,FALSE),0)) + (E101 * IFERROR(VLOOKUP(F101,DinnerTable[],3,FALSE),0))</f>
        <v>43</v>
      </c>
      <c r="P97" s="15">
        <f>(E98 * IFERROR(VLOOKUP(F98,DinnerTable[],4,FALSE),0)) + (E99 * IFERROR(VLOOKUP(F99,DinnerTable[],4,FALSE),0)) + (E100 * IFERROR(VLOOKUP(F100,DinnerTable[],4,FALSE),0)) + (E101 * IFERROR(VLOOKUP(F101,DinnerTable[],4,FALSE),0))</f>
        <v>126</v>
      </c>
    </row>
    <row r="98" spans="1:16" ht="15.75" thickTop="1" x14ac:dyDescent="0.25">
      <c r="A98" s="17">
        <v>1</v>
      </c>
      <c r="B98" s="17" t="s">
        <v>97</v>
      </c>
      <c r="C98" s="17">
        <v>4</v>
      </c>
      <c r="D98" s="17" t="s">
        <v>57</v>
      </c>
      <c r="E98" s="17">
        <v>1</v>
      </c>
      <c r="F98" s="17" t="s">
        <v>50</v>
      </c>
      <c r="G98" s="17"/>
      <c r="H98" s="17"/>
      <c r="I98" s="2"/>
      <c r="J98" s="2"/>
      <c r="K98" s="2"/>
      <c r="L98" s="13"/>
      <c r="M98" s="15" t="s">
        <v>35</v>
      </c>
      <c r="N98" s="15">
        <f>(G98 * IFERROR(VLOOKUP(H98,PostWorkoutTable[],2,FALSE),0)) + (G99 * IFERROR(VLOOKUP(H99,PostWorkoutTable[],2,FALSE),0)) + (G100 * IFERROR(VLOOKUP(H100,PostWorkoutTable[],2,FALSE),0)) + (G101 * IFERROR(VLOOKUP(H101,PostWorkoutTable[],2,FALSE),0))</f>
        <v>0</v>
      </c>
      <c r="O98" s="15">
        <f>(G98 * IFERROR(VLOOKUP(H98,PostWorkoutTable[],3,FALSE),0)) + (G99 * IFERROR(VLOOKUP(H99,PostWorkoutTable[],3,FALSE),0)) + (G100 * IFERROR(VLOOKUP(H100,PostWorkoutTable[],3,FALSE),0)) + (G101 * IFERROR(VLOOKUP(H101,PostWorkoutTable[],3,FALSE),0))</f>
        <v>0</v>
      </c>
      <c r="P98" s="15">
        <f>(G98 * IFERROR(VLOOKUP(H98,PostWorkoutTable[],4,FALSE),0)) + (G99 * IFERROR(VLOOKUP(H99,PostWorkoutTable[],4,FALSE),0)) + (G100 * IFERROR(VLOOKUP(H100,PostWorkoutTable[],4,FALSE),0)) + (G101 * IFERROR(VLOOKUP(H101,PostWorkoutTable[],4,FALSE),0))</f>
        <v>0</v>
      </c>
    </row>
    <row r="99" spans="1:16" x14ac:dyDescent="0.25">
      <c r="A99" s="17"/>
      <c r="B99" s="17"/>
      <c r="C99" s="17">
        <v>4</v>
      </c>
      <c r="D99" s="17" t="s">
        <v>94</v>
      </c>
      <c r="E99" s="17">
        <v>2</v>
      </c>
      <c r="F99" s="17" t="s">
        <v>65</v>
      </c>
      <c r="G99" s="17"/>
      <c r="H99" s="17"/>
      <c r="I99" s="2"/>
      <c r="J99" s="2"/>
      <c r="K99" s="2"/>
      <c r="L99" s="13"/>
      <c r="M99" s="15" t="s">
        <v>21</v>
      </c>
      <c r="N99" s="15">
        <f xml:space="preserve"> SUM(I98:I101)</f>
        <v>0</v>
      </c>
      <c r="O99" s="15">
        <f>SUM(J98:J101)</f>
        <v>0</v>
      </c>
      <c r="P99" s="15">
        <f>SUM(K98:K101)</f>
        <v>0</v>
      </c>
    </row>
    <row r="100" spans="1:16" x14ac:dyDescent="0.25">
      <c r="A100" s="17"/>
      <c r="B100" s="17"/>
      <c r="C100" s="17">
        <v>4</v>
      </c>
      <c r="D100" s="17" t="s">
        <v>93</v>
      </c>
      <c r="E100" s="17">
        <v>2</v>
      </c>
      <c r="F100" s="17" t="s">
        <v>66</v>
      </c>
      <c r="G100" s="17"/>
      <c r="H100" s="17"/>
      <c r="I100" s="2"/>
      <c r="J100" s="2"/>
      <c r="K100" s="2"/>
      <c r="L100" s="13"/>
      <c r="M100" s="15" t="s">
        <v>38</v>
      </c>
      <c r="N100" s="15">
        <f>SUM(N95:N99)</f>
        <v>139.19999999999999</v>
      </c>
      <c r="O100" s="15">
        <f>SUM(O95:O99)</f>
        <v>124.7</v>
      </c>
      <c r="P100" s="15">
        <f>SUM(P95:P99)</f>
        <v>351.4</v>
      </c>
    </row>
    <row r="101" spans="1:16" x14ac:dyDescent="0.25">
      <c r="A101" s="17"/>
      <c r="B101" s="17"/>
      <c r="C101" s="17"/>
      <c r="D101" s="17"/>
      <c r="E101" s="17">
        <v>0.5</v>
      </c>
      <c r="F101" s="17" t="s">
        <v>99</v>
      </c>
      <c r="G101" s="17"/>
      <c r="H101" s="17"/>
      <c r="I101" s="2"/>
      <c r="J101" s="2"/>
      <c r="K101" s="2"/>
      <c r="L101" s="13"/>
      <c r="M101" s="13"/>
      <c r="N101" s="13"/>
      <c r="O101" s="13"/>
      <c r="P101" s="13"/>
    </row>
    <row r="102" spans="1:16" x14ac:dyDescent="0.25">
      <c r="A102" s="13"/>
      <c r="B102" s="13"/>
      <c r="C102" s="13"/>
      <c r="D102" s="13"/>
      <c r="E102" s="13"/>
      <c r="F102" s="13"/>
      <c r="G102" s="13"/>
      <c r="H102" s="13"/>
      <c r="I102" s="13"/>
      <c r="J102" s="13"/>
      <c r="K102" s="13"/>
      <c r="L102" s="13"/>
      <c r="M102" s="13"/>
      <c r="N102" s="13"/>
      <c r="O102" s="13"/>
      <c r="P102" s="13"/>
    </row>
    <row r="103" spans="1:16" ht="23.25" x14ac:dyDescent="0.35">
      <c r="A103" s="21">
        <v>43507</v>
      </c>
      <c r="B103" s="13"/>
      <c r="C103" s="13"/>
      <c r="D103" s="13"/>
      <c r="E103" s="13"/>
      <c r="F103" s="13"/>
      <c r="G103" s="13"/>
      <c r="H103" s="13"/>
      <c r="I103" s="13"/>
      <c r="J103" s="13"/>
      <c r="K103" s="13"/>
      <c r="L103" s="13"/>
      <c r="M103" s="13"/>
      <c r="N103" s="13"/>
      <c r="O103" s="13"/>
      <c r="P103" s="13"/>
    </row>
    <row r="104" spans="1:16" ht="18" thickBot="1" x14ac:dyDescent="0.35">
      <c r="A104" s="3" t="s">
        <v>48</v>
      </c>
      <c r="B104" s="3" t="s">
        <v>0</v>
      </c>
      <c r="C104" s="3" t="s">
        <v>36</v>
      </c>
      <c r="D104" s="3" t="s">
        <v>8</v>
      </c>
      <c r="E104" s="5" t="s">
        <v>9</v>
      </c>
      <c r="F104" s="5" t="s">
        <v>10</v>
      </c>
      <c r="G104" s="14"/>
      <c r="H104" s="19"/>
      <c r="I104" s="13"/>
      <c r="J104" s="13"/>
      <c r="K104" s="13"/>
      <c r="L104" s="13"/>
      <c r="M104" s="14"/>
      <c r="N104" s="15" t="s">
        <v>8</v>
      </c>
      <c r="O104" s="15" t="s">
        <v>9</v>
      </c>
      <c r="P104" s="15" t="s">
        <v>10</v>
      </c>
    </row>
    <row r="105" spans="1:16" ht="15.75" thickTop="1" x14ac:dyDescent="0.25">
      <c r="A105" s="18">
        <v>43507</v>
      </c>
      <c r="B105" s="16">
        <f>IFERROR(VLOOKUP(A105,OverviewTable[],2,FALSE),"?")</f>
        <v>128</v>
      </c>
      <c r="C105" s="16" t="str">
        <f>((N110 * 4) + (O110 * 9) + (P110 * 4))&amp;"/"&amp;IFERROR(VLOOKUP(A105,OverviewTable[],11,FALSE),"?")</f>
        <v>1926.6/2298</v>
      </c>
      <c r="D105" s="16" t="str">
        <f>N110&amp;"/"&amp;IFERROR(VLOOKUP(A105,OverviewTable[],12,FALSE),"?")</f>
        <v>138.8/128</v>
      </c>
      <c r="E105" s="16" t="str">
        <f>O110&amp;"/"&amp;IFERROR(VLOOKUP(A105,OverviewTable[],13,FALSE),"?")</f>
        <v>85/64</v>
      </c>
      <c r="F105" s="16" t="str">
        <f>P110&amp;"/"&amp;IFERROR(VLOOKUP(A105,OverviewTable[],14,FALSE),"?")</f>
        <v>151.6/303</v>
      </c>
      <c r="G105" s="19"/>
      <c r="H105" s="19"/>
      <c r="I105" s="13"/>
      <c r="J105" s="13"/>
      <c r="K105" s="13"/>
      <c r="L105" s="13"/>
      <c r="M105" s="15" t="s">
        <v>6</v>
      </c>
      <c r="N105" s="15">
        <f>(A108 * IFERROR(VLOOKUP(B108,BreakfastTable[],2,FALSE),0)) + (A109 * IFERROR(VLOOKUP(B109,BreakfastTable[],2,FALSE),0)) + (A110 * IFERROR(VLOOKUP(B110,BreakfastTable[],2,FALSE),0)) + (A111 * IFERROR(VLOOKUP(B111,BreakfastTable[],2,FALSE),0))</f>
        <v>32.200000000000003</v>
      </c>
      <c r="O105" s="15">
        <f>(A108 * IFERROR(VLOOKUP(B108,BreakfastTable[],3,FALSE),0)) + (A109 * IFERROR(VLOOKUP(B109,BreakfastTable[],3,FALSE),0)) + (A110 * IFERROR(VLOOKUP(B110,BreakfastTable[],3,FALSE),0)) + (A111 * IFERROR(VLOOKUP(B111,BreakfastTable[],3,FALSE),0))</f>
        <v>14.7</v>
      </c>
      <c r="P105" s="15">
        <f>(A108 * IFERROR(VLOOKUP(B108,BreakfastTable[],4,FALSE),0)) + (A109 * IFERROR(VLOOKUP(B109,BreakfastTable[],4,FALSE),0)) + (A110 * IFERROR(VLOOKUP(B110,BreakfastTable[],4,FALSE),0)) + (A111 * IFERROR(VLOOKUP(B111,BreakfastTable[],4,FALSE),0))</f>
        <v>55.4</v>
      </c>
    </row>
    <row r="106" spans="1:16" x14ac:dyDescent="0.25">
      <c r="A106" s="17"/>
      <c r="B106" s="17"/>
      <c r="C106" s="17"/>
      <c r="D106" s="17"/>
      <c r="E106" s="17"/>
      <c r="F106" s="17"/>
      <c r="G106" s="19"/>
      <c r="H106" s="19"/>
      <c r="I106" s="13"/>
      <c r="J106" s="13"/>
      <c r="K106" s="13"/>
      <c r="L106" s="13"/>
      <c r="M106" s="15" t="s">
        <v>11</v>
      </c>
      <c r="N106" s="15">
        <f>(C108 * IFERROR(VLOOKUP(D108,LunchTable[],2,FALSE),0)) + (C109 * IFERROR(VLOOKUP(D109,LunchTable[],2,FALSE),0)) + (C110 * IFERROR(VLOOKUP(D110,LunchTable[],2,FALSE),0)) + (C111 * IFERROR(VLOOKUP(D111,LunchTable[],2,FALSE),0))</f>
        <v>35</v>
      </c>
      <c r="O106" s="15">
        <f>(C108 * IFERROR(VLOOKUP(D108,LunchTable[],3,FALSE),0)) + (C109 * IFERROR(VLOOKUP(D109,LunchTable[],3,FALSE),0)) + (C110 * IFERROR(VLOOKUP(D110,LunchTable[],3,FALSE),0)) + (C111 * IFERROR(VLOOKUP(D111,LunchTable[],3,FALSE),0))</f>
        <v>50</v>
      </c>
      <c r="P106" s="15">
        <f>(C108 * IFERROR(VLOOKUP(D108,LunchTable[],4,FALSE),0)) + (C109 * IFERROR(VLOOKUP(D109,LunchTable[],4,FALSE),0)) + (C110 * IFERROR(VLOOKUP(D110,LunchTable[],4,FALSE),0)) + (C111 * IFERROR(VLOOKUP(D111,LunchTable[],4,FALSE),0))</f>
        <v>60</v>
      </c>
    </row>
    <row r="107" spans="1:16" ht="18" thickBot="1" x14ac:dyDescent="0.35">
      <c r="A107" s="10" t="s">
        <v>34</v>
      </c>
      <c r="B107" s="11" t="s">
        <v>6</v>
      </c>
      <c r="C107" s="10" t="s">
        <v>34</v>
      </c>
      <c r="D107" s="11" t="s">
        <v>11</v>
      </c>
      <c r="E107" s="10" t="s">
        <v>34</v>
      </c>
      <c r="F107" s="11" t="s">
        <v>12</v>
      </c>
      <c r="G107" s="10" t="s">
        <v>34</v>
      </c>
      <c r="H107" s="12" t="s">
        <v>35</v>
      </c>
      <c r="I107" s="5" t="s">
        <v>41</v>
      </c>
      <c r="J107" s="5" t="s">
        <v>42</v>
      </c>
      <c r="K107" s="5" t="s">
        <v>43</v>
      </c>
      <c r="L107" s="13"/>
      <c r="M107" s="15" t="s">
        <v>12</v>
      </c>
      <c r="N107" s="15">
        <f>(E108 * IFERROR(VLOOKUP(F108,DinnerTable[],2,FALSE),0)) + (E109 * IFERROR(VLOOKUP(F109,DinnerTable[],2,FALSE),0)) + (E110 * IFERROR(VLOOKUP(F110,DinnerTable[],2,FALSE),0)) + (E111 * IFERROR(VLOOKUP(F111,DinnerTable[],2,FALSE),0))</f>
        <v>51.6</v>
      </c>
      <c r="O107" s="15">
        <f>(E108 * IFERROR(VLOOKUP(F108,DinnerTable[],3,FALSE),0)) + (E109 * IFERROR(VLOOKUP(F109,DinnerTable[],3,FALSE),0)) + (E110 * IFERROR(VLOOKUP(F110,DinnerTable[],3,FALSE),0)) + (E111 * IFERROR(VLOOKUP(F111,DinnerTable[],3,FALSE),0))</f>
        <v>12.3</v>
      </c>
      <c r="P107" s="15">
        <f>(E108 * IFERROR(VLOOKUP(F108,DinnerTable[],4,FALSE),0)) + (E109 * IFERROR(VLOOKUP(F109,DinnerTable[],4,FALSE),0)) + (E110 * IFERROR(VLOOKUP(F110,DinnerTable[],4,FALSE),0)) + (E111 * IFERROR(VLOOKUP(F111,DinnerTable[],4,FALSE),0))</f>
        <v>6.2</v>
      </c>
    </row>
    <row r="108" spans="1:16" ht="15.75" thickTop="1" x14ac:dyDescent="0.25">
      <c r="A108" s="17">
        <v>1</v>
      </c>
      <c r="B108" s="17" t="s">
        <v>97</v>
      </c>
      <c r="C108" s="17">
        <v>0.5</v>
      </c>
      <c r="D108" s="17" t="s">
        <v>28</v>
      </c>
      <c r="E108" s="17">
        <v>2</v>
      </c>
      <c r="F108" s="17" t="s">
        <v>63</v>
      </c>
      <c r="G108" s="17">
        <v>1</v>
      </c>
      <c r="H108" s="17" t="s">
        <v>87</v>
      </c>
      <c r="I108" s="2"/>
      <c r="J108" s="2"/>
      <c r="K108" s="2"/>
      <c r="L108" s="13"/>
      <c r="M108" s="15" t="s">
        <v>35</v>
      </c>
      <c r="N108" s="15">
        <f>(G108 * IFERROR(VLOOKUP(H108,PostWorkoutTable[],2,FALSE),0)) + (G109 * IFERROR(VLOOKUP(H109,PostWorkoutTable[],2,FALSE),0)) + (G110 * IFERROR(VLOOKUP(H110,PostWorkoutTable[],2,FALSE),0)) + (G111 * IFERROR(VLOOKUP(H111,PostWorkoutTable[],2,FALSE),0))</f>
        <v>20</v>
      </c>
      <c r="O108" s="15">
        <f>(G108 * IFERROR(VLOOKUP(H108,PostWorkoutTable[],3,FALSE),0)) + (G109 * IFERROR(VLOOKUP(H109,PostWorkoutTable[],3,FALSE),0)) + (G110 * IFERROR(VLOOKUP(H110,PostWorkoutTable[],3,FALSE),0)) + (G111 * IFERROR(VLOOKUP(H111,PostWorkoutTable[],3,FALSE),0))</f>
        <v>8</v>
      </c>
      <c r="P108" s="15">
        <f>(G108 * IFERROR(VLOOKUP(H108,PostWorkoutTable[],4,FALSE),0)) + (G109 * IFERROR(VLOOKUP(H109,PostWorkoutTable[],4,FALSE),0)) + (G110 * IFERROR(VLOOKUP(H110,PostWorkoutTable[],4,FALSE),0)) + (G111 * IFERROR(VLOOKUP(H111,PostWorkoutTable[],4,FALSE),0))</f>
        <v>30</v>
      </c>
    </row>
    <row r="109" spans="1:16" x14ac:dyDescent="0.25">
      <c r="A109" s="17"/>
      <c r="B109" s="17"/>
      <c r="C109" s="17"/>
      <c r="D109" s="17"/>
      <c r="E109" s="17">
        <v>1</v>
      </c>
      <c r="F109" s="17" t="s">
        <v>62</v>
      </c>
      <c r="G109" s="17"/>
      <c r="H109" s="17"/>
      <c r="I109" s="2"/>
      <c r="J109" s="2"/>
      <c r="K109" s="2"/>
      <c r="L109" s="13"/>
      <c r="M109" s="15" t="s">
        <v>21</v>
      </c>
      <c r="N109" s="15">
        <f xml:space="preserve"> SUM(I108:I111)</f>
        <v>0</v>
      </c>
      <c r="O109" s="15">
        <f>SUM(J108:J111)</f>
        <v>0</v>
      </c>
      <c r="P109" s="15">
        <f>SUM(K108:K111)</f>
        <v>0</v>
      </c>
    </row>
    <row r="110" spans="1:16" x14ac:dyDescent="0.25">
      <c r="A110" s="17"/>
      <c r="B110" s="17"/>
      <c r="C110" s="17"/>
      <c r="D110" s="17"/>
      <c r="E110" s="17"/>
      <c r="F110" s="17"/>
      <c r="G110" s="17"/>
      <c r="H110" s="17"/>
      <c r="I110" s="2"/>
      <c r="J110" s="2"/>
      <c r="K110" s="2"/>
      <c r="L110" s="13"/>
      <c r="M110" s="15" t="s">
        <v>38</v>
      </c>
      <c r="N110" s="15">
        <f>SUM(N105:N109)</f>
        <v>138.80000000000001</v>
      </c>
      <c r="O110" s="15">
        <f>SUM(O105:O109)</f>
        <v>85</v>
      </c>
      <c r="P110" s="15">
        <f>SUM(P105:P109)</f>
        <v>151.60000000000002</v>
      </c>
    </row>
    <row r="111" spans="1:16" x14ac:dyDescent="0.25">
      <c r="A111" s="17"/>
      <c r="B111" s="17"/>
      <c r="C111" s="17"/>
      <c r="D111" s="17"/>
      <c r="E111" s="17"/>
      <c r="F111" s="17"/>
      <c r="G111" s="17"/>
      <c r="H111" s="17"/>
      <c r="I111" s="2"/>
      <c r="J111" s="2"/>
      <c r="K111" s="2"/>
      <c r="L111" s="13"/>
      <c r="M111" s="13"/>
      <c r="N111" s="13"/>
      <c r="O111" s="13"/>
      <c r="P111" s="13"/>
    </row>
    <row r="112" spans="1:16" x14ac:dyDescent="0.25">
      <c r="A112" s="13"/>
      <c r="B112" s="13"/>
      <c r="C112" s="13"/>
      <c r="D112" s="13"/>
      <c r="E112" s="13"/>
      <c r="F112" s="13"/>
      <c r="G112" s="13"/>
      <c r="H112" s="13"/>
      <c r="I112" s="13"/>
      <c r="J112" s="13"/>
      <c r="K112" s="13"/>
      <c r="L112" s="13"/>
      <c r="M112" s="13"/>
      <c r="N112" s="13"/>
      <c r="O112" s="13"/>
      <c r="P112" s="13"/>
    </row>
    <row r="113" spans="1:16" ht="23.25" x14ac:dyDescent="0.35">
      <c r="A113" s="21">
        <v>43508</v>
      </c>
      <c r="B113" s="13"/>
      <c r="C113" s="13"/>
      <c r="D113" s="13"/>
      <c r="E113" s="13"/>
      <c r="F113" s="13"/>
      <c r="G113" s="13"/>
      <c r="H113" s="13"/>
      <c r="I113" s="13"/>
      <c r="J113" s="13"/>
      <c r="K113" s="13"/>
      <c r="L113" s="13"/>
      <c r="M113" s="13"/>
      <c r="N113" s="13"/>
      <c r="O113" s="13"/>
      <c r="P113" s="13"/>
    </row>
    <row r="114" spans="1:16" ht="18" thickBot="1" x14ac:dyDescent="0.35">
      <c r="A114" s="3" t="s">
        <v>48</v>
      </c>
      <c r="B114" s="3" t="s">
        <v>0</v>
      </c>
      <c r="C114" s="3" t="s">
        <v>36</v>
      </c>
      <c r="D114" s="3" t="s">
        <v>8</v>
      </c>
      <c r="E114" s="5" t="s">
        <v>9</v>
      </c>
      <c r="F114" s="5" t="s">
        <v>10</v>
      </c>
      <c r="G114" s="14"/>
      <c r="H114" s="19"/>
      <c r="I114" s="13"/>
      <c r="J114" s="13"/>
      <c r="K114" s="13"/>
      <c r="L114" s="13"/>
      <c r="M114" s="14"/>
      <c r="N114" s="15" t="s">
        <v>8</v>
      </c>
      <c r="O114" s="15" t="s">
        <v>9</v>
      </c>
      <c r="P114" s="15" t="s">
        <v>10</v>
      </c>
    </row>
    <row r="115" spans="1:16" ht="15.75" thickTop="1" x14ac:dyDescent="0.25">
      <c r="A115" s="18">
        <v>43507</v>
      </c>
      <c r="B115" s="16">
        <f>IFERROR(VLOOKUP(A115,OverviewTable[],2,FALSE),"?")</f>
        <v>128</v>
      </c>
      <c r="C115" s="16" t="str">
        <f>((N120 * 4) + (O120 * 9) + (P120 * 4))&amp;"/"&amp;IFERROR(VLOOKUP(A115,OverviewTable[],11,FALSE),"?")</f>
        <v>1861.04/2298</v>
      </c>
      <c r="D115" s="16" t="str">
        <f>N120&amp;"/"&amp;IFERROR(VLOOKUP(A115,OverviewTable[],12,FALSE),"?")</f>
        <v>99.96/128</v>
      </c>
      <c r="E115" s="16" t="str">
        <f>O120&amp;"/"&amp;IFERROR(VLOOKUP(A115,OverviewTable[],13,FALSE),"?")</f>
        <v>81.28/64</v>
      </c>
      <c r="F115" s="16" t="str">
        <f>P120&amp;"/"&amp;IFERROR(VLOOKUP(A115,OverviewTable[],14,FALSE),"?")</f>
        <v>182.42/303</v>
      </c>
      <c r="G115" s="19"/>
      <c r="H115" s="19"/>
      <c r="I115" s="13"/>
      <c r="J115" s="13"/>
      <c r="K115" s="13"/>
      <c r="L115" s="13"/>
      <c r="M115" s="15" t="s">
        <v>6</v>
      </c>
      <c r="N115" s="15">
        <f>(A118 * IFERROR(VLOOKUP(B118,BreakfastTable[],2,FALSE),0)) + (A119 * IFERROR(VLOOKUP(B119,BreakfastTable[],2,FALSE),0)) + (A120 * IFERROR(VLOOKUP(B120,BreakfastTable[],2,FALSE),0)) + (A121 * IFERROR(VLOOKUP(B121,BreakfastTable[],2,FALSE),0))</f>
        <v>20</v>
      </c>
      <c r="O115" s="15">
        <f>(A118 * IFERROR(VLOOKUP(B118,BreakfastTable[],3,FALSE),0)) + (A119 * IFERROR(VLOOKUP(B119,BreakfastTable[],3,FALSE),0)) + (A120 * IFERROR(VLOOKUP(B120,BreakfastTable[],3,FALSE),0)) + (A121 * IFERROR(VLOOKUP(B121,BreakfastTable[],3,FALSE),0))</f>
        <v>8</v>
      </c>
      <c r="P115" s="15">
        <f>(A118 * IFERROR(VLOOKUP(B118,BreakfastTable[],4,FALSE),0)) + (A119 * IFERROR(VLOOKUP(B119,BreakfastTable[],4,FALSE),0)) + (A120 * IFERROR(VLOOKUP(B120,BreakfastTable[],4,FALSE),0)) + (A121 * IFERROR(VLOOKUP(B121,BreakfastTable[],4,FALSE),0))</f>
        <v>30</v>
      </c>
    </row>
    <row r="116" spans="1:16" x14ac:dyDescent="0.25">
      <c r="A116" s="17"/>
      <c r="B116" s="17"/>
      <c r="C116" s="17"/>
      <c r="D116" s="17"/>
      <c r="E116" s="17"/>
      <c r="F116" s="17"/>
      <c r="G116" s="19"/>
      <c r="H116" s="19"/>
      <c r="I116" s="13"/>
      <c r="J116" s="13"/>
      <c r="K116" s="13"/>
      <c r="L116" s="13"/>
      <c r="M116" s="15" t="s">
        <v>11</v>
      </c>
      <c r="N116" s="15">
        <f>(C118 * IFERROR(VLOOKUP(D118,LunchTable[],2,FALSE),0)) + (C119 * IFERROR(VLOOKUP(D119,LunchTable[],2,FALSE),0)) + (C120 * IFERROR(VLOOKUP(D120,LunchTable[],2,FALSE),0)) + (C121 * IFERROR(VLOOKUP(D121,LunchTable[],2,FALSE),0))</f>
        <v>37.260000000000005</v>
      </c>
      <c r="O116" s="15">
        <f>(C118 * IFERROR(VLOOKUP(D118,LunchTable[],3,FALSE),0)) + (C119 * IFERROR(VLOOKUP(D119,LunchTable[],3,FALSE),0)) + (C120 * IFERROR(VLOOKUP(D120,LunchTable[],3,FALSE),0)) + (C121 * IFERROR(VLOOKUP(D121,LunchTable[],3,FALSE),0))</f>
        <v>11.280000000000001</v>
      </c>
      <c r="P116" s="15">
        <f>(C118 * IFERROR(VLOOKUP(D118,LunchTable[],4,FALSE),0)) + (C119 * IFERROR(VLOOKUP(D119,LunchTable[],4,FALSE),0)) + (C120 * IFERROR(VLOOKUP(D120,LunchTable[],4,FALSE),0)) + (C121 * IFERROR(VLOOKUP(D121,LunchTable[],4,FALSE),0))</f>
        <v>61.92</v>
      </c>
    </row>
    <row r="117" spans="1:16" ht="18" thickBot="1" x14ac:dyDescent="0.35">
      <c r="A117" s="10" t="s">
        <v>34</v>
      </c>
      <c r="B117" s="11" t="s">
        <v>6</v>
      </c>
      <c r="C117" s="10" t="s">
        <v>34</v>
      </c>
      <c r="D117" s="11" t="s">
        <v>11</v>
      </c>
      <c r="E117" s="10" t="s">
        <v>34</v>
      </c>
      <c r="F117" s="11" t="s">
        <v>12</v>
      </c>
      <c r="G117" s="10" t="s">
        <v>34</v>
      </c>
      <c r="H117" s="12" t="s">
        <v>35</v>
      </c>
      <c r="I117" s="5" t="s">
        <v>41</v>
      </c>
      <c r="J117" s="5" t="s">
        <v>42</v>
      </c>
      <c r="K117" s="5" t="s">
        <v>43</v>
      </c>
      <c r="L117" s="13"/>
      <c r="M117" s="15" t="s">
        <v>12</v>
      </c>
      <c r="N117" s="15">
        <f>(E118 * IFERROR(VLOOKUP(F118,DinnerTable[],2,FALSE),0)) + (E119 * IFERROR(VLOOKUP(F119,DinnerTable[],2,FALSE),0)) + (E120 * IFERROR(VLOOKUP(F120,DinnerTable[],2,FALSE),0)) + (E121 * IFERROR(VLOOKUP(F121,DinnerTable[],2,FALSE),0))</f>
        <v>40</v>
      </c>
      <c r="O117" s="15">
        <f>(E118 * IFERROR(VLOOKUP(F118,DinnerTable[],3,FALSE),0)) + (E119 * IFERROR(VLOOKUP(F119,DinnerTable[],3,FALSE),0)) + (E120 * IFERROR(VLOOKUP(F120,DinnerTable[],3,FALSE),0)) + (E121 * IFERROR(VLOOKUP(F121,DinnerTable[],3,FALSE),0))</f>
        <v>40</v>
      </c>
      <c r="P117" s="15">
        <f>(E118 * IFERROR(VLOOKUP(F118,DinnerTable[],4,FALSE),0)) + (E119 * IFERROR(VLOOKUP(F119,DinnerTable[],4,FALSE),0)) + (E120 * IFERROR(VLOOKUP(F120,DinnerTable[],4,FALSE),0)) + (E121 * IFERROR(VLOOKUP(F121,DinnerTable[],4,FALSE),0))</f>
        <v>30</v>
      </c>
    </row>
    <row r="118" spans="1:16" ht="15.75" thickTop="1" x14ac:dyDescent="0.25">
      <c r="A118" s="17">
        <v>1</v>
      </c>
      <c r="B118" s="17" t="s">
        <v>87</v>
      </c>
      <c r="C118" s="17">
        <v>0.33</v>
      </c>
      <c r="D118" s="17" t="s">
        <v>51</v>
      </c>
      <c r="E118" s="17">
        <v>1</v>
      </c>
      <c r="F118" s="17" t="s">
        <v>50</v>
      </c>
      <c r="G118" s="17"/>
      <c r="H118" s="17"/>
      <c r="I118" s="2">
        <v>2.7</v>
      </c>
      <c r="J118" s="2">
        <v>22</v>
      </c>
      <c r="K118" s="2">
        <v>60.5</v>
      </c>
      <c r="L118" s="13"/>
      <c r="M118" s="15" t="s">
        <v>35</v>
      </c>
      <c r="N118" s="15">
        <f>(G118 * IFERROR(VLOOKUP(H118,PostWorkoutTable[],2,FALSE),0)) + (G119 * IFERROR(VLOOKUP(H119,PostWorkoutTable[],2,FALSE),0)) + (G120 * IFERROR(VLOOKUP(H120,PostWorkoutTable[],2,FALSE),0)) + (G121 * IFERROR(VLOOKUP(H121,PostWorkoutTable[],2,FALSE),0))</f>
        <v>0</v>
      </c>
      <c r="O118" s="15">
        <f>(G118 * IFERROR(VLOOKUP(H118,PostWorkoutTable[],3,FALSE),0)) + (G119 * IFERROR(VLOOKUP(H119,PostWorkoutTable[],3,FALSE),0)) + (G120 * IFERROR(VLOOKUP(H120,PostWorkoutTable[],3,FALSE),0)) + (G121 * IFERROR(VLOOKUP(H121,PostWorkoutTable[],3,FALSE),0))</f>
        <v>0</v>
      </c>
      <c r="P118" s="15">
        <f>(G118 * IFERROR(VLOOKUP(H118,PostWorkoutTable[],4,FALSE),0)) + (G119 * IFERROR(VLOOKUP(H119,PostWorkoutTable[],4,FALSE),0)) + (G120 * IFERROR(VLOOKUP(H120,PostWorkoutTable[],4,FALSE),0)) + (G121 * IFERROR(VLOOKUP(H121,PostWorkoutTable[],4,FALSE),0))</f>
        <v>0</v>
      </c>
    </row>
    <row r="119" spans="1:16" x14ac:dyDescent="0.25">
      <c r="A119" s="17"/>
      <c r="B119" s="17"/>
      <c r="C119" s="17">
        <v>3</v>
      </c>
      <c r="D119" s="17" t="s">
        <v>22</v>
      </c>
      <c r="E119" s="17">
        <v>1</v>
      </c>
      <c r="F119" s="17" t="s">
        <v>67</v>
      </c>
      <c r="G119" s="17"/>
      <c r="H119" s="17"/>
      <c r="I119" s="2"/>
      <c r="J119" s="2"/>
      <c r="K119" s="2"/>
      <c r="L119" s="13"/>
      <c r="M119" s="15" t="s">
        <v>21</v>
      </c>
      <c r="N119" s="15">
        <f xml:space="preserve"> SUM(I118:I121)</f>
        <v>2.7</v>
      </c>
      <c r="O119" s="15">
        <f>SUM(J118:J121)</f>
        <v>22</v>
      </c>
      <c r="P119" s="15">
        <f>SUM(K118:K121)</f>
        <v>60.5</v>
      </c>
    </row>
    <row r="120" spans="1:16" x14ac:dyDescent="0.25">
      <c r="A120" s="17"/>
      <c r="B120" s="17"/>
      <c r="C120" s="17"/>
      <c r="D120" s="17"/>
      <c r="E120" s="17"/>
      <c r="F120" s="17"/>
      <c r="G120" s="17"/>
      <c r="H120" s="17"/>
      <c r="I120" s="2"/>
      <c r="J120" s="2"/>
      <c r="K120" s="2"/>
      <c r="L120" s="13"/>
      <c r="M120" s="15" t="s">
        <v>38</v>
      </c>
      <c r="N120" s="15">
        <f>SUM(N115:N119)</f>
        <v>99.960000000000008</v>
      </c>
      <c r="O120" s="15">
        <f>SUM(O115:O119)</f>
        <v>81.28</v>
      </c>
      <c r="P120" s="15">
        <f>SUM(P115:P119)</f>
        <v>182.42000000000002</v>
      </c>
    </row>
    <row r="121" spans="1:16" x14ac:dyDescent="0.25">
      <c r="A121" s="17"/>
      <c r="B121" s="17"/>
      <c r="C121" s="17"/>
      <c r="D121" s="17"/>
      <c r="E121" s="17"/>
      <c r="F121" s="17"/>
      <c r="G121" s="17"/>
      <c r="H121" s="17"/>
      <c r="I121" s="2"/>
      <c r="J121" s="2"/>
      <c r="K121" s="2"/>
      <c r="L121" s="13"/>
      <c r="M121" s="13"/>
      <c r="N121" s="13"/>
      <c r="O121" s="13"/>
      <c r="P121" s="13"/>
    </row>
    <row r="122" spans="1:16" x14ac:dyDescent="0.25">
      <c r="A122" s="13"/>
      <c r="B122" s="13"/>
      <c r="C122" s="13"/>
      <c r="D122" s="13"/>
      <c r="E122" s="13"/>
      <c r="F122" s="13"/>
      <c r="G122" s="13"/>
      <c r="H122" s="13"/>
      <c r="I122" s="13"/>
      <c r="J122" s="13"/>
      <c r="K122" s="13"/>
      <c r="L122" s="13"/>
      <c r="M122" s="13"/>
      <c r="N122" s="13"/>
      <c r="O122" s="13"/>
      <c r="P122" s="13"/>
    </row>
    <row r="123" spans="1:16" ht="23.25" x14ac:dyDescent="0.35">
      <c r="A123" s="21">
        <v>43509</v>
      </c>
      <c r="B123" s="13"/>
      <c r="C123" s="13"/>
      <c r="D123" s="13"/>
      <c r="E123" s="13"/>
      <c r="F123" s="13"/>
      <c r="G123" s="13"/>
      <c r="H123" s="13"/>
      <c r="I123" s="13"/>
      <c r="J123" s="13"/>
      <c r="K123" s="13"/>
      <c r="L123" s="13"/>
      <c r="M123" s="13"/>
      <c r="N123" s="13"/>
      <c r="O123" s="13"/>
      <c r="P123" s="13"/>
    </row>
    <row r="124" spans="1:16" ht="18" thickBot="1" x14ac:dyDescent="0.35">
      <c r="A124" s="3" t="s">
        <v>48</v>
      </c>
      <c r="B124" s="3" t="s">
        <v>0</v>
      </c>
      <c r="C124" s="3" t="s">
        <v>36</v>
      </c>
      <c r="D124" s="3" t="s">
        <v>8</v>
      </c>
      <c r="E124" s="5" t="s">
        <v>9</v>
      </c>
      <c r="F124" s="5" t="s">
        <v>10</v>
      </c>
      <c r="G124" s="14"/>
      <c r="H124" s="19"/>
      <c r="I124" s="13"/>
      <c r="J124" s="13"/>
      <c r="K124" s="13"/>
      <c r="L124" s="13"/>
      <c r="M124" s="14"/>
      <c r="N124" s="15" t="s">
        <v>8</v>
      </c>
      <c r="O124" s="15" t="s">
        <v>9</v>
      </c>
      <c r="P124" s="15" t="s">
        <v>10</v>
      </c>
    </row>
    <row r="125" spans="1:16" ht="15.75" thickTop="1" x14ac:dyDescent="0.25">
      <c r="A125" s="18">
        <v>43507</v>
      </c>
      <c r="B125" s="16">
        <f>IFERROR(VLOOKUP(A125,OverviewTable[],2,FALSE),"?")</f>
        <v>128</v>
      </c>
      <c r="C125" s="16" t="str">
        <f>((N130 * 4) + (O130 * 9) + (P130 * 4))&amp;"/"&amp;IFERROR(VLOOKUP(A125,OverviewTable[],11,FALSE),"?")</f>
        <v>2817.95/2298</v>
      </c>
      <c r="D125" s="16" t="str">
        <f>N130&amp;"/"&amp;IFERROR(VLOOKUP(A125,OverviewTable[],12,FALSE),"?")</f>
        <v>146.2/128</v>
      </c>
      <c r="E125" s="16" t="str">
        <f>O130&amp;"/"&amp;IFERROR(VLOOKUP(A125,OverviewTable[],13,FALSE),"?")</f>
        <v>101.95/64</v>
      </c>
      <c r="F125" s="16" t="str">
        <f>P130&amp;"/"&amp;IFERROR(VLOOKUP(A125,OverviewTable[],14,FALSE),"?")</f>
        <v>328.9/303</v>
      </c>
      <c r="G125" s="19"/>
      <c r="H125" s="19"/>
      <c r="I125" s="13"/>
      <c r="J125" s="13"/>
      <c r="K125" s="13"/>
      <c r="L125" s="13"/>
      <c r="M125" s="15" t="s">
        <v>6</v>
      </c>
      <c r="N125" s="15">
        <f>(A128 * IFERROR(VLOOKUP(B128,BreakfastTable[],2,FALSE),0)) + (A129 * IFERROR(VLOOKUP(B129,BreakfastTable[],2,FALSE),0)) + (A130 * IFERROR(VLOOKUP(B130,BreakfastTable[],2,FALSE),0)) + (A131 * IFERROR(VLOOKUP(B131,BreakfastTable[],2,FALSE),0))</f>
        <v>32.200000000000003</v>
      </c>
      <c r="O125" s="15">
        <f>(A128 * IFERROR(VLOOKUP(B128,BreakfastTable[],3,FALSE),0)) + (A129 * IFERROR(VLOOKUP(B129,BreakfastTable[],3,FALSE),0)) + (A130 * IFERROR(VLOOKUP(B130,BreakfastTable[],3,FALSE),0)) + (A131 * IFERROR(VLOOKUP(B131,BreakfastTable[],3,FALSE),0))</f>
        <v>14.7</v>
      </c>
      <c r="P125" s="15">
        <f>(A128 * IFERROR(VLOOKUP(B128,BreakfastTable[],4,FALSE),0)) + (A129 * IFERROR(VLOOKUP(B129,BreakfastTable[],4,FALSE),0)) + (A130 * IFERROR(VLOOKUP(B130,BreakfastTable[],4,FALSE),0)) + (A131 * IFERROR(VLOOKUP(B131,BreakfastTable[],4,FALSE),0))</f>
        <v>55.4</v>
      </c>
    </row>
    <row r="126" spans="1:16" x14ac:dyDescent="0.25">
      <c r="A126" s="17"/>
      <c r="B126" s="17"/>
      <c r="C126" s="17"/>
      <c r="D126" s="17"/>
      <c r="E126" s="17"/>
      <c r="F126" s="17"/>
      <c r="G126" s="19"/>
      <c r="H126" s="19"/>
      <c r="I126" s="13"/>
      <c r="J126" s="13"/>
      <c r="K126" s="13"/>
      <c r="L126" s="13"/>
      <c r="M126" s="15" t="s">
        <v>11</v>
      </c>
      <c r="N126" s="15">
        <f>(C128 * IFERROR(VLOOKUP(D128,LunchTable[],2,FALSE),0)) + (C129 * IFERROR(VLOOKUP(D129,LunchTable[],2,FALSE),0)) + (C130 * IFERROR(VLOOKUP(D130,LunchTable[],2,FALSE),0)) + (C131 * IFERROR(VLOOKUP(D131,LunchTable[],2,FALSE),0))</f>
        <v>33</v>
      </c>
      <c r="O126" s="15">
        <f>(C128 * IFERROR(VLOOKUP(D128,LunchTable[],3,FALSE),0)) + (C129 * IFERROR(VLOOKUP(D129,LunchTable[],3,FALSE),0)) + (C130 * IFERROR(VLOOKUP(D130,LunchTable[],3,FALSE),0)) + (C131 * IFERROR(VLOOKUP(D131,LunchTable[],3,FALSE),0))</f>
        <v>37</v>
      </c>
      <c r="P126" s="15">
        <f>(C128 * IFERROR(VLOOKUP(D128,LunchTable[],4,FALSE),0)) + (C129 * IFERROR(VLOOKUP(D129,LunchTable[],4,FALSE),0)) + (C130 * IFERROR(VLOOKUP(D130,LunchTable[],4,FALSE),0)) + (C131 * IFERROR(VLOOKUP(D131,LunchTable[],4,FALSE),0))</f>
        <v>127</v>
      </c>
    </row>
    <row r="127" spans="1:16" ht="18" thickBot="1" x14ac:dyDescent="0.35">
      <c r="A127" s="10" t="s">
        <v>34</v>
      </c>
      <c r="B127" s="11" t="s">
        <v>6</v>
      </c>
      <c r="C127" s="10" t="s">
        <v>34</v>
      </c>
      <c r="D127" s="11" t="s">
        <v>11</v>
      </c>
      <c r="E127" s="10" t="s">
        <v>34</v>
      </c>
      <c r="F127" s="11" t="s">
        <v>12</v>
      </c>
      <c r="G127" s="10" t="s">
        <v>34</v>
      </c>
      <c r="H127" s="12" t="s">
        <v>35</v>
      </c>
      <c r="I127" s="5" t="s">
        <v>41</v>
      </c>
      <c r="J127" s="5" t="s">
        <v>42</v>
      </c>
      <c r="K127" s="5" t="s">
        <v>43</v>
      </c>
      <c r="L127" s="13"/>
      <c r="M127" s="15" t="s">
        <v>12</v>
      </c>
      <c r="N127" s="15">
        <f>(E128 * IFERROR(VLOOKUP(F128,DinnerTable[],2,FALSE),0)) + (E129 * IFERROR(VLOOKUP(F129,DinnerTable[],2,FALSE),0)) + (E130 * IFERROR(VLOOKUP(F130,DinnerTable[],2,FALSE),0)) + (E131 * IFERROR(VLOOKUP(F131,DinnerTable[],2,FALSE),0))</f>
        <v>61</v>
      </c>
      <c r="O127" s="15">
        <f>(E128 * IFERROR(VLOOKUP(F128,DinnerTable[],3,FALSE),0)) + (E129 * IFERROR(VLOOKUP(F129,DinnerTable[],3,FALSE),0)) + (E130 * IFERROR(VLOOKUP(F130,DinnerTable[],3,FALSE),0)) + (E131 * IFERROR(VLOOKUP(F131,DinnerTable[],3,FALSE),0))</f>
        <v>42.25</v>
      </c>
      <c r="P127" s="15">
        <f>(E128 * IFERROR(VLOOKUP(F128,DinnerTable[],4,FALSE),0)) + (E129 * IFERROR(VLOOKUP(F129,DinnerTable[],4,FALSE),0)) + (E130 * IFERROR(VLOOKUP(F130,DinnerTable[],4,FALSE),0)) + (E131 * IFERROR(VLOOKUP(F131,DinnerTable[],4,FALSE),0))</f>
        <v>116.5</v>
      </c>
    </row>
    <row r="128" spans="1:16" ht="15.75" thickTop="1" x14ac:dyDescent="0.25">
      <c r="A128" s="17">
        <v>1</v>
      </c>
      <c r="B128" s="17" t="s">
        <v>97</v>
      </c>
      <c r="C128" s="17">
        <v>1</v>
      </c>
      <c r="D128" s="17" t="s">
        <v>24</v>
      </c>
      <c r="E128" s="17">
        <v>0.5</v>
      </c>
      <c r="F128" s="17" t="s">
        <v>45</v>
      </c>
      <c r="G128" s="17">
        <v>1</v>
      </c>
      <c r="H128" s="17" t="s">
        <v>87</v>
      </c>
      <c r="I128" s="2"/>
      <c r="J128" s="2"/>
      <c r="K128" s="2"/>
      <c r="L128" s="13"/>
      <c r="M128" s="15" t="s">
        <v>35</v>
      </c>
      <c r="N128" s="15">
        <f>(G128 * IFERROR(VLOOKUP(H128,PostWorkoutTable[],2,FALSE),0)) + (G129 * IFERROR(VLOOKUP(H129,PostWorkoutTable[],2,FALSE),0)) + (G130 * IFERROR(VLOOKUP(H130,PostWorkoutTable[],2,FALSE),0)) + (G131 * IFERROR(VLOOKUP(H131,PostWorkoutTable[],2,FALSE),0))</f>
        <v>20</v>
      </c>
      <c r="O128" s="15">
        <f>(G128 * IFERROR(VLOOKUP(H128,PostWorkoutTable[],3,FALSE),0)) + (G129 * IFERROR(VLOOKUP(H129,PostWorkoutTable[],3,FALSE),0)) + (G130 * IFERROR(VLOOKUP(H130,PostWorkoutTable[],3,FALSE),0)) + (G131 * IFERROR(VLOOKUP(H131,PostWorkoutTable[],3,FALSE),0))</f>
        <v>8</v>
      </c>
      <c r="P128" s="15">
        <f>(G128 * IFERROR(VLOOKUP(H128,PostWorkoutTable[],4,FALSE),0)) + (G129 * IFERROR(VLOOKUP(H129,PostWorkoutTable[],4,FALSE),0)) + (G130 * IFERROR(VLOOKUP(H130,PostWorkoutTable[],4,FALSE),0)) + (G131 * IFERROR(VLOOKUP(H131,PostWorkoutTable[],4,FALSE),0))</f>
        <v>30</v>
      </c>
    </row>
    <row r="129" spans="1:16" x14ac:dyDescent="0.25">
      <c r="A129" s="17"/>
      <c r="B129" s="17"/>
      <c r="C129" s="17">
        <v>1</v>
      </c>
      <c r="D129" s="17" t="s">
        <v>55</v>
      </c>
      <c r="E129" s="17">
        <v>0.5</v>
      </c>
      <c r="F129" s="17" t="s">
        <v>56</v>
      </c>
      <c r="G129" s="17"/>
      <c r="H129" s="17"/>
      <c r="I129" s="2"/>
      <c r="J129" s="2"/>
      <c r="K129" s="2"/>
      <c r="L129" s="13"/>
      <c r="M129" s="15" t="s">
        <v>21</v>
      </c>
      <c r="N129" s="15">
        <f xml:space="preserve"> SUM(I128:I131)</f>
        <v>0</v>
      </c>
      <c r="O129" s="15">
        <f>SUM(J128:J131)</f>
        <v>0</v>
      </c>
      <c r="P129" s="15">
        <f>SUM(K128:K131)</f>
        <v>0</v>
      </c>
    </row>
    <row r="130" spans="1:16" x14ac:dyDescent="0.25">
      <c r="A130" s="17"/>
      <c r="B130" s="17"/>
      <c r="C130" s="17">
        <v>1</v>
      </c>
      <c r="D130" s="17" t="s">
        <v>100</v>
      </c>
      <c r="E130" s="17">
        <v>0.25</v>
      </c>
      <c r="F130" s="17" t="s">
        <v>44</v>
      </c>
      <c r="G130" s="17"/>
      <c r="H130" s="17"/>
      <c r="I130" s="2"/>
      <c r="J130" s="2"/>
      <c r="K130" s="2"/>
      <c r="L130" s="13"/>
      <c r="M130" s="15" t="s">
        <v>38</v>
      </c>
      <c r="N130" s="15">
        <f>SUM(N125:N129)</f>
        <v>146.19999999999999</v>
      </c>
      <c r="O130" s="15">
        <f>SUM(O125:O129)</f>
        <v>101.95</v>
      </c>
      <c r="P130" s="15">
        <f>SUM(P125:P129)</f>
        <v>328.9</v>
      </c>
    </row>
    <row r="131" spans="1:16" x14ac:dyDescent="0.25">
      <c r="A131" s="17"/>
      <c r="B131" s="17"/>
      <c r="C131" s="17"/>
      <c r="D131" s="17"/>
      <c r="E131" s="17"/>
      <c r="F131" s="17"/>
      <c r="G131" s="17"/>
      <c r="H131" s="17"/>
      <c r="I131" s="2"/>
      <c r="J131" s="2"/>
      <c r="K131" s="2"/>
      <c r="L131" s="13"/>
      <c r="M131" s="13"/>
      <c r="N131" s="13"/>
      <c r="O131" s="13"/>
      <c r="P131" s="13"/>
    </row>
    <row r="132" spans="1:16" x14ac:dyDescent="0.25">
      <c r="A132" s="13"/>
      <c r="B132" s="13"/>
      <c r="C132" s="13"/>
      <c r="D132" s="13"/>
      <c r="E132" s="13"/>
      <c r="F132" s="13"/>
      <c r="G132" s="13"/>
      <c r="H132" s="13"/>
      <c r="I132" s="13"/>
      <c r="J132" s="13"/>
      <c r="K132" s="13"/>
      <c r="L132" s="13"/>
      <c r="M132" s="13"/>
      <c r="N132" s="13"/>
      <c r="O132" s="13"/>
      <c r="P132" s="13"/>
    </row>
    <row r="133" spans="1:16" ht="23.25" x14ac:dyDescent="0.35">
      <c r="A133" s="21">
        <v>43510</v>
      </c>
      <c r="B133" s="13"/>
      <c r="C133" s="13"/>
      <c r="D133" s="13"/>
      <c r="E133" s="13"/>
      <c r="F133" s="13"/>
      <c r="G133" s="13"/>
      <c r="H133" s="13"/>
      <c r="I133" s="13"/>
      <c r="J133" s="13"/>
      <c r="K133" s="13"/>
      <c r="L133" s="13"/>
      <c r="M133" s="13"/>
      <c r="N133" s="13"/>
      <c r="O133" s="13"/>
      <c r="P133" s="13"/>
    </row>
    <row r="134" spans="1:16" ht="18" thickBot="1" x14ac:dyDescent="0.35">
      <c r="A134" s="3" t="s">
        <v>48</v>
      </c>
      <c r="B134" s="3" t="s">
        <v>0</v>
      </c>
      <c r="C134" s="3" t="s">
        <v>36</v>
      </c>
      <c r="D134" s="3" t="s">
        <v>8</v>
      </c>
      <c r="E134" s="5" t="s">
        <v>9</v>
      </c>
      <c r="F134" s="5" t="s">
        <v>10</v>
      </c>
      <c r="G134" s="14"/>
      <c r="H134" s="19"/>
      <c r="I134" s="13"/>
      <c r="J134" s="13"/>
      <c r="K134" s="13"/>
      <c r="L134" s="13"/>
      <c r="M134" s="14"/>
      <c r="N134" s="15" t="s">
        <v>8</v>
      </c>
      <c r="O134" s="15" t="s">
        <v>9</v>
      </c>
      <c r="P134" s="15" t="s">
        <v>10</v>
      </c>
    </row>
    <row r="135" spans="1:16" ht="15.75" thickTop="1" x14ac:dyDescent="0.25">
      <c r="A135" s="18">
        <v>43507</v>
      </c>
      <c r="B135" s="16">
        <f>IFERROR(VLOOKUP(A135,OverviewTable[],2,FALSE),"?")</f>
        <v>128</v>
      </c>
      <c r="C135" s="16" t="str">
        <f>((N140 * 4) + (O140 * 9) + (P140 * 4))&amp;"/"&amp;IFERROR(VLOOKUP(A135,OverviewTable[],11,FALSE),"?")</f>
        <v>1998.85/2298</v>
      </c>
      <c r="D135" s="16" t="str">
        <f>N140&amp;"/"&amp;IFERROR(VLOOKUP(A135,OverviewTable[],12,FALSE),"?")</f>
        <v>119.7/128</v>
      </c>
      <c r="E135" s="16" t="str">
        <f>O140&amp;"/"&amp;IFERROR(VLOOKUP(A135,OverviewTable[],13,FALSE),"?")</f>
        <v>70.05/64</v>
      </c>
      <c r="F135" s="16" t="str">
        <f>P140&amp;"/"&amp;IFERROR(VLOOKUP(A135,OverviewTable[],14,FALSE),"?")</f>
        <v>222.4/303</v>
      </c>
      <c r="G135" s="19"/>
      <c r="H135" s="19"/>
      <c r="I135" s="13"/>
      <c r="J135" s="13"/>
      <c r="K135" s="13"/>
      <c r="L135" s="13"/>
      <c r="M135" s="15" t="s">
        <v>6</v>
      </c>
      <c r="N135" s="15">
        <f>(A138 * IFERROR(VLOOKUP(B138,BreakfastTable[],2,FALSE),0)) + (A139 * IFERROR(VLOOKUP(B139,BreakfastTable[],2,FALSE),0)) + (A140 * IFERROR(VLOOKUP(B140,BreakfastTable[],2,FALSE),0)) + (A141 * IFERROR(VLOOKUP(B141,BreakfastTable[],2,FALSE),0))</f>
        <v>0.3</v>
      </c>
      <c r="O135" s="15">
        <f>(A138 * IFERROR(VLOOKUP(B138,BreakfastTable[],3,FALSE),0)) + (A139 * IFERROR(VLOOKUP(B139,BreakfastTable[],3,FALSE),0)) + (A140 * IFERROR(VLOOKUP(B140,BreakfastTable[],3,FALSE),0)) + (A141 * IFERROR(VLOOKUP(B141,BreakfastTable[],3,FALSE),0))</f>
        <v>0.2</v>
      </c>
      <c r="P135" s="15">
        <f>(A138 * IFERROR(VLOOKUP(B138,BreakfastTable[],4,FALSE),0)) + (A139 * IFERROR(VLOOKUP(B139,BreakfastTable[],4,FALSE),0)) + (A140 * IFERROR(VLOOKUP(B140,BreakfastTable[],4,FALSE),0)) + (A141 * IFERROR(VLOOKUP(B141,BreakfastTable[],4,FALSE),0))</f>
        <v>17.3</v>
      </c>
    </row>
    <row r="136" spans="1:16" x14ac:dyDescent="0.25">
      <c r="A136" s="17"/>
      <c r="B136" s="17"/>
      <c r="C136" s="17"/>
      <c r="D136" s="17"/>
      <c r="E136" s="17"/>
      <c r="F136" s="17"/>
      <c r="G136" s="19"/>
      <c r="H136" s="19"/>
      <c r="I136" s="13"/>
      <c r="J136" s="13"/>
      <c r="K136" s="13"/>
      <c r="L136" s="13"/>
      <c r="M136" s="15" t="s">
        <v>11</v>
      </c>
      <c r="N136" s="15">
        <f>(C138 * IFERROR(VLOOKUP(D138,LunchTable[],2,FALSE),0)) + (C139 * IFERROR(VLOOKUP(D139,LunchTable[],2,FALSE),0)) + (C140 * IFERROR(VLOOKUP(D140,LunchTable[],2,FALSE),0)) + (C141 * IFERROR(VLOOKUP(D141,LunchTable[],2,FALSE),0))</f>
        <v>55.5</v>
      </c>
      <c r="O136" s="15">
        <f>(C138 * IFERROR(VLOOKUP(D138,LunchTable[],3,FALSE),0)) + (C139 * IFERROR(VLOOKUP(D139,LunchTable[],3,FALSE),0)) + (C140 * IFERROR(VLOOKUP(D140,LunchTable[],3,FALSE),0)) + (C141 * IFERROR(VLOOKUP(D141,LunchTable[],3,FALSE),0))</f>
        <v>18</v>
      </c>
      <c r="P136" s="15">
        <f>(C138 * IFERROR(VLOOKUP(D138,LunchTable[],4,FALSE),0)) + (C139 * IFERROR(VLOOKUP(D139,LunchTable[],4,FALSE),0)) + (C140 * IFERROR(VLOOKUP(D140,LunchTable[],4,FALSE),0)) + (C141 * IFERROR(VLOOKUP(D141,LunchTable[],4,FALSE),0))</f>
        <v>64</v>
      </c>
    </row>
    <row r="137" spans="1:16" ht="18" thickBot="1" x14ac:dyDescent="0.35">
      <c r="A137" s="10" t="s">
        <v>34</v>
      </c>
      <c r="B137" s="11" t="s">
        <v>6</v>
      </c>
      <c r="C137" s="10" t="s">
        <v>34</v>
      </c>
      <c r="D137" s="11" t="s">
        <v>11</v>
      </c>
      <c r="E137" s="10" t="s">
        <v>34</v>
      </c>
      <c r="F137" s="11" t="s">
        <v>12</v>
      </c>
      <c r="G137" s="10" t="s">
        <v>34</v>
      </c>
      <c r="H137" s="12" t="s">
        <v>35</v>
      </c>
      <c r="I137" s="5" t="s">
        <v>41</v>
      </c>
      <c r="J137" s="5" t="s">
        <v>42</v>
      </c>
      <c r="K137" s="5" t="s">
        <v>43</v>
      </c>
      <c r="L137" s="13"/>
      <c r="M137" s="15" t="s">
        <v>12</v>
      </c>
      <c r="N137" s="15">
        <f>(E138 * IFERROR(VLOOKUP(F138,DinnerTable[],2,FALSE),0)) + (E139 * IFERROR(VLOOKUP(F139,DinnerTable[],2,FALSE),0)) + (E140 * IFERROR(VLOOKUP(F140,DinnerTable[],2,FALSE),0)) + (E141 * IFERROR(VLOOKUP(F141,DinnerTable[],2,FALSE),0))</f>
        <v>61</v>
      </c>
      <c r="O137" s="15">
        <f>(E138 * IFERROR(VLOOKUP(F138,DinnerTable[],3,FALSE),0)) + (E139 * IFERROR(VLOOKUP(F139,DinnerTable[],3,FALSE),0)) + (E140 * IFERROR(VLOOKUP(F140,DinnerTable[],3,FALSE),0)) + (E141 * IFERROR(VLOOKUP(F141,DinnerTable[],3,FALSE),0))</f>
        <v>42.25</v>
      </c>
      <c r="P137" s="15">
        <f>(E138 * IFERROR(VLOOKUP(F138,DinnerTable[],4,FALSE),0)) + (E139 * IFERROR(VLOOKUP(F139,DinnerTable[],4,FALSE),0)) + (E140 * IFERROR(VLOOKUP(F140,DinnerTable[],4,FALSE),0)) + (E141 * IFERROR(VLOOKUP(F141,DinnerTable[],4,FALSE),0))</f>
        <v>116.5</v>
      </c>
    </row>
    <row r="138" spans="1:16" ht="15.75" thickTop="1" x14ac:dyDescent="0.25">
      <c r="A138" s="17">
        <v>1</v>
      </c>
      <c r="B138" s="17" t="s">
        <v>33</v>
      </c>
      <c r="C138" s="17">
        <v>0.25</v>
      </c>
      <c r="D138" s="17" t="s">
        <v>52</v>
      </c>
      <c r="E138" s="17">
        <v>0.5</v>
      </c>
      <c r="F138" s="17" t="s">
        <v>45</v>
      </c>
      <c r="G138" s="17"/>
      <c r="H138" s="17"/>
      <c r="I138" s="2">
        <v>2.9</v>
      </c>
      <c r="J138" s="2">
        <v>9.6</v>
      </c>
      <c r="K138" s="2">
        <v>24.6</v>
      </c>
      <c r="L138" s="13"/>
      <c r="M138" s="15" t="s">
        <v>35</v>
      </c>
      <c r="N138" s="15">
        <f>(G138 * IFERROR(VLOOKUP(H138,PostWorkoutTable[],2,FALSE),0)) + (G139 * IFERROR(VLOOKUP(H139,PostWorkoutTable[],2,FALSE),0)) + (G140 * IFERROR(VLOOKUP(H140,PostWorkoutTable[],2,FALSE),0)) + (G141 * IFERROR(VLOOKUP(H141,PostWorkoutTable[],2,FALSE),0))</f>
        <v>0</v>
      </c>
      <c r="O138" s="15">
        <f>(G138 * IFERROR(VLOOKUP(H138,PostWorkoutTable[],3,FALSE),0)) + (G139 * IFERROR(VLOOKUP(H139,PostWorkoutTable[],3,FALSE),0)) + (G140 * IFERROR(VLOOKUP(H140,PostWorkoutTable[],3,FALSE),0)) + (G141 * IFERROR(VLOOKUP(H141,PostWorkoutTable[],3,FALSE),0))</f>
        <v>0</v>
      </c>
      <c r="P138" s="15">
        <f>(G138 * IFERROR(VLOOKUP(H138,PostWorkoutTable[],4,FALSE),0)) + (G139 * IFERROR(VLOOKUP(H139,PostWorkoutTable[],4,FALSE),0)) + (G140 * IFERROR(VLOOKUP(H140,PostWorkoutTable[],4,FALSE),0)) + (G141 * IFERROR(VLOOKUP(H141,PostWorkoutTable[],4,FALSE),0))</f>
        <v>0</v>
      </c>
    </row>
    <row r="139" spans="1:16" x14ac:dyDescent="0.25">
      <c r="A139" s="17"/>
      <c r="B139" s="17"/>
      <c r="C139" s="17">
        <v>0.25</v>
      </c>
      <c r="D139" s="17" t="s">
        <v>51</v>
      </c>
      <c r="E139" s="17">
        <v>0.5</v>
      </c>
      <c r="F139" s="17" t="s">
        <v>56</v>
      </c>
      <c r="G139" s="17"/>
      <c r="H139" s="17"/>
      <c r="I139" s="2"/>
      <c r="J139" s="2"/>
      <c r="K139" s="2"/>
      <c r="L139" s="13"/>
      <c r="M139" s="15" t="s">
        <v>21</v>
      </c>
      <c r="N139" s="15">
        <f xml:space="preserve"> SUM(I138:I141)</f>
        <v>2.9</v>
      </c>
      <c r="O139" s="15">
        <f>SUM(J138:J141)</f>
        <v>9.6</v>
      </c>
      <c r="P139" s="15">
        <f>SUM(K138:K141)</f>
        <v>24.6</v>
      </c>
    </row>
    <row r="140" spans="1:16" x14ac:dyDescent="0.25">
      <c r="A140" s="17"/>
      <c r="B140" s="17"/>
      <c r="C140" s="17">
        <v>1</v>
      </c>
      <c r="D140" s="17" t="s">
        <v>90</v>
      </c>
      <c r="E140" s="17">
        <v>0.25</v>
      </c>
      <c r="F140" s="17" t="s">
        <v>44</v>
      </c>
      <c r="G140" s="17"/>
      <c r="H140" s="17"/>
      <c r="I140" s="2"/>
      <c r="J140" s="2"/>
      <c r="K140" s="2"/>
      <c r="L140" s="13"/>
      <c r="M140" s="15" t="s">
        <v>38</v>
      </c>
      <c r="N140" s="15">
        <f>SUM(N135:N139)</f>
        <v>119.7</v>
      </c>
      <c r="O140" s="15">
        <f>SUM(O135:O139)</f>
        <v>70.05</v>
      </c>
      <c r="P140" s="15">
        <f>SUM(P135:P139)</f>
        <v>222.4</v>
      </c>
    </row>
    <row r="141" spans="1:16" x14ac:dyDescent="0.25">
      <c r="A141" s="17"/>
      <c r="B141" s="17"/>
      <c r="C141" s="17">
        <v>3</v>
      </c>
      <c r="D141" s="17" t="s">
        <v>22</v>
      </c>
      <c r="E141" s="17"/>
      <c r="F141" s="17"/>
      <c r="G141" s="17"/>
      <c r="H141" s="17"/>
      <c r="I141" s="2"/>
      <c r="J141" s="2"/>
      <c r="K141" s="2"/>
      <c r="L141" s="13"/>
      <c r="M141" s="13"/>
      <c r="N141" s="13"/>
      <c r="O141" s="13"/>
      <c r="P141" s="13"/>
    </row>
    <row r="142" spans="1:16" x14ac:dyDescent="0.25">
      <c r="A142" s="13"/>
      <c r="B142" s="13"/>
      <c r="C142" s="13"/>
      <c r="D142" s="13"/>
      <c r="E142" s="13"/>
      <c r="F142" s="13"/>
      <c r="G142" s="13"/>
      <c r="H142" s="13"/>
      <c r="I142" s="13"/>
      <c r="J142" s="13"/>
      <c r="K142" s="13"/>
      <c r="L142" s="13"/>
      <c r="M142" s="13"/>
      <c r="N142" s="13"/>
      <c r="O142" s="13"/>
      <c r="P142" s="13"/>
    </row>
    <row r="143" spans="1:16" ht="23.25" x14ac:dyDescent="0.35">
      <c r="A143" s="21">
        <v>43511</v>
      </c>
      <c r="B143" s="13"/>
      <c r="C143" s="13"/>
      <c r="D143" s="13"/>
      <c r="E143" s="13"/>
      <c r="F143" s="13"/>
      <c r="G143" s="13"/>
      <c r="H143" s="13"/>
      <c r="I143" s="13"/>
      <c r="J143" s="13"/>
      <c r="K143" s="13"/>
      <c r="L143" s="13"/>
      <c r="M143" s="13"/>
      <c r="N143" s="13"/>
      <c r="O143" s="13"/>
      <c r="P143" s="13"/>
    </row>
    <row r="144" spans="1:16" ht="18" thickBot="1" x14ac:dyDescent="0.35">
      <c r="A144" s="3" t="s">
        <v>48</v>
      </c>
      <c r="B144" s="3" t="s">
        <v>0</v>
      </c>
      <c r="C144" s="3" t="s">
        <v>36</v>
      </c>
      <c r="D144" s="3" t="s">
        <v>8</v>
      </c>
      <c r="E144" s="5" t="s">
        <v>9</v>
      </c>
      <c r="F144" s="5" t="s">
        <v>10</v>
      </c>
      <c r="G144" s="14"/>
      <c r="H144" s="19"/>
      <c r="I144" s="13"/>
      <c r="J144" s="13"/>
      <c r="K144" s="13"/>
      <c r="L144" s="13"/>
      <c r="M144" s="14"/>
      <c r="N144" s="15" t="s">
        <v>8</v>
      </c>
      <c r="O144" s="15" t="s">
        <v>9</v>
      </c>
      <c r="P144" s="15" t="s">
        <v>10</v>
      </c>
    </row>
    <row r="145" spans="1:16" ht="15.75" thickTop="1" x14ac:dyDescent="0.25">
      <c r="A145" s="18">
        <v>43507</v>
      </c>
      <c r="B145" s="16">
        <f>IFERROR(VLOOKUP(A145,OverviewTable[],2,FALSE),"?")</f>
        <v>128</v>
      </c>
      <c r="C145" s="16" t="str">
        <f>((N150 * 4) + (O150 * 9) + (P150 * 4))&amp;"/"&amp;IFERROR(VLOOKUP(A145,OverviewTable[],11,FALSE),"?")</f>
        <v>1819/2298</v>
      </c>
      <c r="D145" s="16" t="str">
        <f>N150&amp;"/"&amp;IFERROR(VLOOKUP(A145,OverviewTable[],12,FALSE),"?")</f>
        <v>90.3/128</v>
      </c>
      <c r="E145" s="16" t="str">
        <f>O150&amp;"/"&amp;IFERROR(VLOOKUP(A145,OverviewTable[],13,FALSE),"?")</f>
        <v>79.4/64</v>
      </c>
      <c r="F145" s="16" t="str">
        <f>P150&amp;"/"&amp;IFERROR(VLOOKUP(A145,OverviewTable[],14,FALSE),"?")</f>
        <v>185.8/303</v>
      </c>
      <c r="G145" s="19"/>
      <c r="H145" s="19"/>
      <c r="I145" s="13"/>
      <c r="J145" s="13"/>
      <c r="K145" s="13"/>
      <c r="L145" s="13"/>
      <c r="M145" s="15" t="s">
        <v>6</v>
      </c>
      <c r="N145" s="15">
        <f>(A148 * IFERROR(VLOOKUP(B148,BreakfastTable[],2,FALSE),0)) + (A149 * IFERROR(VLOOKUP(B149,BreakfastTable[],2,FALSE),0)) + (A150 * IFERROR(VLOOKUP(B150,BreakfastTable[],2,FALSE),0)) + (A151 * IFERROR(VLOOKUP(B151,BreakfastTable[],2,FALSE),0))</f>
        <v>32.299999999999997</v>
      </c>
      <c r="O145" s="15">
        <f>(A148 * IFERROR(VLOOKUP(B148,BreakfastTable[],3,FALSE),0)) + (A149 * IFERROR(VLOOKUP(B149,BreakfastTable[],3,FALSE),0)) + (A150 * IFERROR(VLOOKUP(B150,BreakfastTable[],3,FALSE),0)) + (A151 * IFERROR(VLOOKUP(B151,BreakfastTable[],3,FALSE),0))</f>
        <v>14.9</v>
      </c>
      <c r="P145" s="15">
        <f>(A148 * IFERROR(VLOOKUP(B148,BreakfastTable[],4,FALSE),0)) + (A149 * IFERROR(VLOOKUP(B149,BreakfastTable[],4,FALSE),0)) + (A150 * IFERROR(VLOOKUP(B150,BreakfastTable[],4,FALSE),0)) + (A151 * IFERROR(VLOOKUP(B151,BreakfastTable[],4,FALSE),0))</f>
        <v>55.3</v>
      </c>
    </row>
    <row r="146" spans="1:16" x14ac:dyDescent="0.25">
      <c r="A146" s="17"/>
      <c r="B146" s="17"/>
      <c r="C146" s="17"/>
      <c r="D146" s="17"/>
      <c r="E146" s="17"/>
      <c r="F146" s="17"/>
      <c r="G146" s="19"/>
      <c r="H146" s="19"/>
      <c r="I146" s="13"/>
      <c r="J146" s="13"/>
      <c r="K146" s="13"/>
      <c r="L146" s="13"/>
      <c r="M146" s="15" t="s">
        <v>11</v>
      </c>
      <c r="N146" s="15">
        <f>(C148 * IFERROR(VLOOKUP(D148,LunchTable[],2,FALSE),0)) + (C149 * IFERROR(VLOOKUP(D149,LunchTable[],2,FALSE),0)) + (C150 * IFERROR(VLOOKUP(D150,LunchTable[],2,FALSE),0)) + (C151 * IFERROR(VLOOKUP(D151,LunchTable[],2,FALSE),0))</f>
        <v>0</v>
      </c>
      <c r="O146" s="15">
        <f>(C148 * IFERROR(VLOOKUP(D148,LunchTable[],3,FALSE),0)) + (C149 * IFERROR(VLOOKUP(D149,LunchTable[],3,FALSE),0)) + (C150 * IFERROR(VLOOKUP(D150,LunchTable[],3,FALSE),0)) + (C151 * IFERROR(VLOOKUP(D151,LunchTable[],3,FALSE),0))</f>
        <v>0</v>
      </c>
      <c r="P146" s="15">
        <f>(C148 * IFERROR(VLOOKUP(D148,LunchTable[],4,FALSE),0)) + (C149 * IFERROR(VLOOKUP(D149,LunchTable[],4,FALSE),0)) + (C150 * IFERROR(VLOOKUP(D150,LunchTable[],4,FALSE),0)) + (C151 * IFERROR(VLOOKUP(D151,LunchTable[],4,FALSE),0))</f>
        <v>0</v>
      </c>
    </row>
    <row r="147" spans="1:16" ht="18" thickBot="1" x14ac:dyDescent="0.35">
      <c r="A147" s="10" t="s">
        <v>34</v>
      </c>
      <c r="B147" s="11" t="s">
        <v>6</v>
      </c>
      <c r="C147" s="10" t="s">
        <v>34</v>
      </c>
      <c r="D147" s="11" t="s">
        <v>11</v>
      </c>
      <c r="E147" s="10" t="s">
        <v>34</v>
      </c>
      <c r="F147" s="11" t="s">
        <v>12</v>
      </c>
      <c r="G147" s="10" t="s">
        <v>34</v>
      </c>
      <c r="H147" s="12" t="s">
        <v>35</v>
      </c>
      <c r="I147" s="5" t="s">
        <v>41</v>
      </c>
      <c r="J147" s="5" t="s">
        <v>42</v>
      </c>
      <c r="K147" s="5" t="s">
        <v>43</v>
      </c>
      <c r="L147" s="13"/>
      <c r="M147" s="15" t="s">
        <v>12</v>
      </c>
      <c r="N147" s="15">
        <f>(E148 * IFERROR(VLOOKUP(F148,DinnerTable[],2,FALSE),0)) + (E149 * IFERROR(VLOOKUP(F149,DinnerTable[],2,FALSE),0)) + (E150 * IFERROR(VLOOKUP(F150,DinnerTable[],2,FALSE),0)) + (E151 * IFERROR(VLOOKUP(F151,DinnerTable[],2,FALSE),0))</f>
        <v>20</v>
      </c>
      <c r="O147" s="15">
        <f>(E148 * IFERROR(VLOOKUP(F148,DinnerTable[],3,FALSE),0)) + (E149 * IFERROR(VLOOKUP(F149,DinnerTable[],3,FALSE),0)) + (E150 * IFERROR(VLOOKUP(F150,DinnerTable[],3,FALSE),0)) + (E151 * IFERROR(VLOOKUP(F151,DinnerTable[],3,FALSE),0))</f>
        <v>33.5</v>
      </c>
      <c r="P147" s="15">
        <f>(E148 * IFERROR(VLOOKUP(F148,DinnerTable[],4,FALSE),0)) + (E149 * IFERROR(VLOOKUP(F149,DinnerTable[],4,FALSE),0)) + (E150 * IFERROR(VLOOKUP(F150,DinnerTable[],4,FALSE),0)) + (E151 * IFERROR(VLOOKUP(F151,DinnerTable[],4,FALSE),0))</f>
        <v>85</v>
      </c>
    </row>
    <row r="148" spans="1:16" ht="15.75" thickTop="1" x14ac:dyDescent="0.25">
      <c r="A148" s="17">
        <v>1</v>
      </c>
      <c r="B148" s="17" t="s">
        <v>98</v>
      </c>
      <c r="C148" s="17"/>
      <c r="D148" s="17"/>
      <c r="E148" s="17">
        <v>2</v>
      </c>
      <c r="F148" s="17" t="s">
        <v>57</v>
      </c>
      <c r="G148" s="17"/>
      <c r="H148" s="17"/>
      <c r="I148" s="2">
        <v>16</v>
      </c>
      <c r="J148" s="2">
        <v>15</v>
      </c>
      <c r="K148" s="2">
        <v>28</v>
      </c>
      <c r="L148" s="13"/>
      <c r="M148" s="15" t="s">
        <v>35</v>
      </c>
      <c r="N148" s="15">
        <f>(G148 * IFERROR(VLOOKUP(H148,PostWorkoutTable[],2,FALSE),0)) + (G149 * IFERROR(VLOOKUP(H149,PostWorkoutTable[],2,FALSE),0)) + (G150 * IFERROR(VLOOKUP(H150,PostWorkoutTable[],2,FALSE),0)) + (G151 * IFERROR(VLOOKUP(H151,PostWorkoutTable[],2,FALSE),0))</f>
        <v>0</v>
      </c>
      <c r="O148" s="15">
        <f>(G148 * IFERROR(VLOOKUP(H148,PostWorkoutTable[],3,FALSE),0)) + (G149 * IFERROR(VLOOKUP(H149,PostWorkoutTable[],3,FALSE),0)) + (G150 * IFERROR(VLOOKUP(H150,PostWorkoutTable[],3,FALSE),0)) + (G151 * IFERROR(VLOOKUP(H151,PostWorkoutTable[],3,FALSE),0))</f>
        <v>0</v>
      </c>
      <c r="P148" s="15">
        <f>(G148 * IFERROR(VLOOKUP(H148,PostWorkoutTable[],4,FALSE),0)) + (G149 * IFERROR(VLOOKUP(H149,PostWorkoutTable[],4,FALSE),0)) + (G150 * IFERROR(VLOOKUP(H150,PostWorkoutTable[],4,FALSE),0)) + (G151 * IFERROR(VLOOKUP(H151,PostWorkoutTable[],4,FALSE),0))</f>
        <v>0</v>
      </c>
    </row>
    <row r="149" spans="1:16" x14ac:dyDescent="0.25">
      <c r="A149" s="17"/>
      <c r="B149" s="17"/>
      <c r="C149" s="17"/>
      <c r="D149" s="17"/>
      <c r="E149" s="17">
        <v>2</v>
      </c>
      <c r="F149" s="17" t="s">
        <v>94</v>
      </c>
      <c r="G149" s="17"/>
      <c r="H149" s="17"/>
      <c r="I149" s="2">
        <v>22</v>
      </c>
      <c r="J149" s="2">
        <v>16</v>
      </c>
      <c r="K149" s="2">
        <v>17.5</v>
      </c>
      <c r="L149" s="13"/>
      <c r="M149" s="15" t="s">
        <v>21</v>
      </c>
      <c r="N149" s="15">
        <f xml:space="preserve"> SUM(I148:I151)</f>
        <v>38</v>
      </c>
      <c r="O149" s="15">
        <f>SUM(J148:J151)</f>
        <v>31</v>
      </c>
      <c r="P149" s="15">
        <f>SUM(K148:K151)</f>
        <v>45.5</v>
      </c>
    </row>
    <row r="150" spans="1:16" x14ac:dyDescent="0.25">
      <c r="A150" s="17"/>
      <c r="B150" s="17"/>
      <c r="C150" s="17"/>
      <c r="D150" s="17"/>
      <c r="E150" s="17">
        <v>2</v>
      </c>
      <c r="F150" s="17" t="s">
        <v>93</v>
      </c>
      <c r="G150" s="17"/>
      <c r="H150" s="17"/>
      <c r="I150" s="2"/>
      <c r="J150" s="2"/>
      <c r="K150" s="2"/>
      <c r="L150" s="13"/>
      <c r="M150" s="15" t="s">
        <v>38</v>
      </c>
      <c r="N150" s="15">
        <f>SUM(N145:N149)</f>
        <v>90.3</v>
      </c>
      <c r="O150" s="15">
        <f>SUM(O145:O149)</f>
        <v>79.400000000000006</v>
      </c>
      <c r="P150" s="15">
        <f>SUM(P145:P149)</f>
        <v>185.8</v>
      </c>
    </row>
    <row r="151" spans="1:16" x14ac:dyDescent="0.25">
      <c r="A151" s="17"/>
      <c r="B151" s="17"/>
      <c r="C151" s="17"/>
      <c r="D151" s="17"/>
      <c r="E151" s="17"/>
      <c r="F151" s="17"/>
      <c r="G151" s="17"/>
      <c r="H151" s="17"/>
      <c r="I151" s="2"/>
      <c r="J151" s="2"/>
      <c r="K151" s="2"/>
      <c r="L151" s="13"/>
      <c r="M151" s="13"/>
      <c r="N151" s="13"/>
      <c r="O151" s="13"/>
      <c r="P151" s="13"/>
    </row>
    <row r="152" spans="1:16" x14ac:dyDescent="0.25">
      <c r="A152" s="13"/>
      <c r="B152" s="13"/>
      <c r="C152" s="13"/>
      <c r="D152" s="13"/>
      <c r="E152" s="13"/>
      <c r="F152" s="13"/>
      <c r="G152" s="13"/>
      <c r="H152" s="13"/>
      <c r="I152" s="13"/>
      <c r="J152" s="13"/>
      <c r="K152" s="13"/>
      <c r="L152" s="13"/>
      <c r="M152" s="13"/>
      <c r="N152" s="13"/>
      <c r="O152" s="13"/>
      <c r="P152" s="13"/>
    </row>
    <row r="153" spans="1:16" ht="23.25" x14ac:dyDescent="0.35">
      <c r="A153" s="21">
        <v>43512</v>
      </c>
      <c r="B153" s="13"/>
      <c r="C153" s="13"/>
      <c r="D153" s="13"/>
      <c r="E153" s="13"/>
      <c r="F153" s="13"/>
      <c r="G153" s="13"/>
      <c r="H153" s="13"/>
      <c r="I153" s="13"/>
      <c r="J153" s="13"/>
      <c r="K153" s="13"/>
      <c r="L153" s="13"/>
      <c r="M153" s="13"/>
      <c r="N153" s="13"/>
      <c r="O153" s="13"/>
      <c r="P153" s="13"/>
    </row>
    <row r="154" spans="1:16" ht="18" thickBot="1" x14ac:dyDescent="0.35">
      <c r="A154" s="3" t="s">
        <v>48</v>
      </c>
      <c r="B154" s="3" t="s">
        <v>0</v>
      </c>
      <c r="C154" s="3" t="s">
        <v>36</v>
      </c>
      <c r="D154" s="3" t="s">
        <v>8</v>
      </c>
      <c r="E154" s="5" t="s">
        <v>9</v>
      </c>
      <c r="F154" s="5" t="s">
        <v>10</v>
      </c>
      <c r="G154" s="14"/>
      <c r="H154" s="19"/>
      <c r="I154" s="13"/>
      <c r="J154" s="13"/>
      <c r="K154" s="13"/>
      <c r="L154" s="13"/>
      <c r="M154" s="14"/>
      <c r="N154" s="15" t="s">
        <v>8</v>
      </c>
      <c r="O154" s="15" t="s">
        <v>9</v>
      </c>
      <c r="P154" s="15" t="s">
        <v>10</v>
      </c>
    </row>
    <row r="155" spans="1:16" ht="15.75" thickTop="1" x14ac:dyDescent="0.25">
      <c r="A155" s="18">
        <v>43507</v>
      </c>
      <c r="B155" s="16">
        <f>IFERROR(VLOOKUP(A155,OverviewTable[],2,FALSE),"?")</f>
        <v>128</v>
      </c>
      <c r="C155" s="16" t="str">
        <f>((N160 * 4) + (O160 * 9) + (P160 * 4))&amp;"/"&amp;IFERROR(VLOOKUP(A155,OverviewTable[],11,FALSE),"?")</f>
        <v>2011/2298</v>
      </c>
      <c r="D155" s="16" t="str">
        <f>N160&amp;"/"&amp;IFERROR(VLOOKUP(A155,OverviewTable[],12,FALSE),"?")</f>
        <v>105/128</v>
      </c>
      <c r="E155" s="16" t="str">
        <f>O160&amp;"/"&amp;IFERROR(VLOOKUP(A155,OverviewTable[],13,FALSE),"?")</f>
        <v>93/64</v>
      </c>
      <c r="F155" s="16" t="str">
        <f>P160&amp;"/"&amp;IFERROR(VLOOKUP(A155,OverviewTable[],14,FALSE),"?")</f>
        <v>188.5/303</v>
      </c>
      <c r="G155" s="19"/>
      <c r="H155" s="19"/>
      <c r="I155" s="13"/>
      <c r="J155" s="13"/>
      <c r="K155" s="13"/>
      <c r="L155" s="13"/>
      <c r="M155" s="15" t="s">
        <v>6</v>
      </c>
      <c r="N155" s="15">
        <f>(A158 * IFERROR(VLOOKUP(B158,BreakfastTable[],2,FALSE),0)) + (A159 * IFERROR(VLOOKUP(B159,BreakfastTable[],2,FALSE),0)) + (A160 * IFERROR(VLOOKUP(B160,BreakfastTable[],2,FALSE),0)) + (A161 * IFERROR(VLOOKUP(B161,BreakfastTable[],2,FALSE),0))</f>
        <v>0</v>
      </c>
      <c r="O155" s="15">
        <f>(A158 * IFERROR(VLOOKUP(B158,BreakfastTable[],3,FALSE),0)) + (A159 * IFERROR(VLOOKUP(B159,BreakfastTable[],3,FALSE),0)) + (A160 * IFERROR(VLOOKUP(B160,BreakfastTable[],3,FALSE),0)) + (A161 * IFERROR(VLOOKUP(B161,BreakfastTable[],3,FALSE),0))</f>
        <v>0</v>
      </c>
      <c r="P155" s="15">
        <f>(A158 * IFERROR(VLOOKUP(B158,BreakfastTable[],4,FALSE),0)) + (A159 * IFERROR(VLOOKUP(B159,BreakfastTable[],4,FALSE),0)) + (A160 * IFERROR(VLOOKUP(B160,BreakfastTable[],4,FALSE),0)) + (A161 * IFERROR(VLOOKUP(B161,BreakfastTable[],4,FALSE),0))</f>
        <v>0</v>
      </c>
    </row>
    <row r="156" spans="1:16" x14ac:dyDescent="0.25">
      <c r="A156" s="17"/>
      <c r="B156" s="17"/>
      <c r="C156" s="17"/>
      <c r="D156" s="17"/>
      <c r="E156" s="17"/>
      <c r="F156" s="17"/>
      <c r="G156" s="19"/>
      <c r="H156" s="19"/>
      <c r="I156" s="13"/>
      <c r="J156" s="13"/>
      <c r="K156" s="13"/>
      <c r="L156" s="13"/>
      <c r="M156" s="15" t="s">
        <v>11</v>
      </c>
      <c r="N156" s="15">
        <f>(C158 * IFERROR(VLOOKUP(D158,LunchTable[],2,FALSE),0)) + (C159 * IFERROR(VLOOKUP(D159,LunchTable[],2,FALSE),0)) + (C160 * IFERROR(VLOOKUP(D160,LunchTable[],2,FALSE),0)) + (C161 * IFERROR(VLOOKUP(D161,LunchTable[],2,FALSE),0))</f>
        <v>0</v>
      </c>
      <c r="O156" s="15">
        <f>(C158 * IFERROR(VLOOKUP(D158,LunchTable[],3,FALSE),0)) + (C159 * IFERROR(VLOOKUP(D159,LunchTable[],3,FALSE),0)) + (C160 * IFERROR(VLOOKUP(D160,LunchTable[],3,FALSE),0)) + (C161 * IFERROR(VLOOKUP(D161,LunchTable[],3,FALSE),0))</f>
        <v>0</v>
      </c>
      <c r="P156" s="15">
        <f>(C158 * IFERROR(VLOOKUP(D158,LunchTable[],4,FALSE),0)) + (C159 * IFERROR(VLOOKUP(D159,LunchTable[],4,FALSE),0)) + (C160 * IFERROR(VLOOKUP(D160,LunchTable[],4,FALSE),0)) + (C161 * IFERROR(VLOOKUP(D161,LunchTable[],4,FALSE),0))</f>
        <v>0</v>
      </c>
    </row>
    <row r="157" spans="1:16" ht="18" thickBot="1" x14ac:dyDescent="0.35">
      <c r="A157" s="10" t="s">
        <v>34</v>
      </c>
      <c r="B157" s="11" t="s">
        <v>6</v>
      </c>
      <c r="C157" s="10" t="s">
        <v>34</v>
      </c>
      <c r="D157" s="11" t="s">
        <v>11</v>
      </c>
      <c r="E157" s="10" t="s">
        <v>34</v>
      </c>
      <c r="F157" s="11" t="s">
        <v>12</v>
      </c>
      <c r="G157" s="10" t="s">
        <v>34</v>
      </c>
      <c r="H157" s="12" t="s">
        <v>35</v>
      </c>
      <c r="I157" s="5" t="s">
        <v>41</v>
      </c>
      <c r="J157" s="5" t="s">
        <v>42</v>
      </c>
      <c r="K157" s="5" t="s">
        <v>43</v>
      </c>
      <c r="L157" s="13"/>
      <c r="M157" s="15" t="s">
        <v>12</v>
      </c>
      <c r="N157" s="15">
        <f>(E158 * IFERROR(VLOOKUP(F158,DinnerTable[],2,FALSE),0)) + (E159 * IFERROR(VLOOKUP(F159,DinnerTable[],2,FALSE),0)) + (E160 * IFERROR(VLOOKUP(F160,DinnerTable[],2,FALSE),0)) + (E161 * IFERROR(VLOOKUP(F161,DinnerTable[],2,FALSE),0))</f>
        <v>0</v>
      </c>
      <c r="O157" s="15">
        <f>(E158 * IFERROR(VLOOKUP(F158,DinnerTable[],3,FALSE),0)) + (E159 * IFERROR(VLOOKUP(F159,DinnerTable[],3,FALSE),0)) + (E160 * IFERROR(VLOOKUP(F160,DinnerTable[],3,FALSE),0)) + (E161 * IFERROR(VLOOKUP(F161,DinnerTable[],3,FALSE),0))</f>
        <v>0</v>
      </c>
      <c r="P157" s="15">
        <f>(E158 * IFERROR(VLOOKUP(F158,DinnerTable[],4,FALSE),0)) + (E159 * IFERROR(VLOOKUP(F159,DinnerTable[],4,FALSE),0)) + (E160 * IFERROR(VLOOKUP(F160,DinnerTable[],4,FALSE),0)) + (E161 * IFERROR(VLOOKUP(F161,DinnerTable[],4,FALSE),0))</f>
        <v>0</v>
      </c>
    </row>
    <row r="158" spans="1:16" ht="15.75" thickTop="1" x14ac:dyDescent="0.25">
      <c r="A158" s="17"/>
      <c r="B158" s="17"/>
      <c r="C158" s="17"/>
      <c r="D158" s="17"/>
      <c r="E158" s="17"/>
      <c r="F158" s="17"/>
      <c r="G158" s="17"/>
      <c r="H158" s="17"/>
      <c r="I158" s="2">
        <v>38</v>
      </c>
      <c r="J158" s="2">
        <v>28</v>
      </c>
      <c r="K158" s="2">
        <v>74</v>
      </c>
      <c r="L158" s="13"/>
      <c r="M158" s="15" t="s">
        <v>35</v>
      </c>
      <c r="N158" s="15">
        <f>(G158 * IFERROR(VLOOKUP(H158,PostWorkoutTable[],2,FALSE),0)) + (G159 * IFERROR(VLOOKUP(H159,PostWorkoutTable[],2,FALSE),0)) + (G160 * IFERROR(VLOOKUP(H160,PostWorkoutTable[],2,FALSE),0)) + (G161 * IFERROR(VLOOKUP(H161,PostWorkoutTable[],2,FALSE),0))</f>
        <v>0</v>
      </c>
      <c r="O158" s="15">
        <f>(G158 * IFERROR(VLOOKUP(H158,PostWorkoutTable[],3,FALSE),0)) + (G159 * IFERROR(VLOOKUP(H159,PostWorkoutTable[],3,FALSE),0)) + (G160 * IFERROR(VLOOKUP(H160,PostWorkoutTable[],3,FALSE),0)) + (G161 * IFERROR(VLOOKUP(H161,PostWorkoutTable[],3,FALSE),0))</f>
        <v>0</v>
      </c>
      <c r="P158" s="15">
        <f>(G158 * IFERROR(VLOOKUP(H158,PostWorkoutTable[],4,FALSE),0)) + (G159 * IFERROR(VLOOKUP(H159,PostWorkoutTable[],4,FALSE),0)) + (G160 * IFERROR(VLOOKUP(H160,PostWorkoutTable[],4,FALSE),0)) + (G161 * IFERROR(VLOOKUP(H161,PostWorkoutTable[],4,FALSE),0))</f>
        <v>0</v>
      </c>
    </row>
    <row r="159" spans="1:16" x14ac:dyDescent="0.25">
      <c r="A159" s="17"/>
      <c r="B159" s="17"/>
      <c r="C159" s="17"/>
      <c r="D159" s="17"/>
      <c r="E159" s="17"/>
      <c r="F159" s="17"/>
      <c r="G159" s="17"/>
      <c r="H159" s="17"/>
      <c r="I159" s="2">
        <v>44</v>
      </c>
      <c r="J159" s="2">
        <v>32</v>
      </c>
      <c r="K159" s="2">
        <v>35</v>
      </c>
      <c r="L159" s="13"/>
      <c r="M159" s="15" t="s">
        <v>21</v>
      </c>
      <c r="N159" s="15">
        <f xml:space="preserve"> SUM(I158:I161)</f>
        <v>105</v>
      </c>
      <c r="O159" s="15">
        <f>SUM(J158:J161)</f>
        <v>93</v>
      </c>
      <c r="P159" s="15">
        <f>SUM(K158:K161)</f>
        <v>188.5</v>
      </c>
    </row>
    <row r="160" spans="1:16" x14ac:dyDescent="0.25">
      <c r="A160" s="17"/>
      <c r="B160" s="17"/>
      <c r="C160" s="17"/>
      <c r="D160" s="17"/>
      <c r="E160" s="17"/>
      <c r="F160" s="17"/>
      <c r="G160" s="17"/>
      <c r="H160" s="17"/>
      <c r="I160" s="2">
        <v>21</v>
      </c>
      <c r="J160" s="2">
        <v>26</v>
      </c>
      <c r="K160" s="2">
        <v>63</v>
      </c>
      <c r="L160" s="13"/>
      <c r="M160" s="15" t="s">
        <v>38</v>
      </c>
      <c r="N160" s="15">
        <f>SUM(N155:N159)</f>
        <v>105</v>
      </c>
      <c r="O160" s="15">
        <f>SUM(O155:O159)</f>
        <v>93</v>
      </c>
      <c r="P160" s="15">
        <f>SUM(P155:P159)</f>
        <v>188.5</v>
      </c>
    </row>
    <row r="161" spans="1:16" x14ac:dyDescent="0.25">
      <c r="A161" s="17"/>
      <c r="B161" s="17"/>
      <c r="C161" s="17"/>
      <c r="D161" s="17"/>
      <c r="E161" s="17"/>
      <c r="F161" s="17"/>
      <c r="G161" s="17"/>
      <c r="H161" s="17"/>
      <c r="I161" s="2">
        <v>2</v>
      </c>
      <c r="J161" s="2">
        <v>7</v>
      </c>
      <c r="K161" s="2">
        <v>16.5</v>
      </c>
      <c r="L161" s="13"/>
      <c r="M161" s="13"/>
      <c r="N161" s="13"/>
      <c r="O161" s="13"/>
      <c r="P161" s="13"/>
    </row>
    <row r="162" spans="1:16" x14ac:dyDescent="0.25">
      <c r="A162" s="13"/>
      <c r="B162" s="13"/>
      <c r="C162" s="13"/>
      <c r="D162" s="13"/>
      <c r="E162" s="13"/>
      <c r="F162" s="13"/>
      <c r="G162" s="13"/>
      <c r="H162" s="13"/>
      <c r="I162" s="13"/>
      <c r="J162" s="13"/>
      <c r="K162" s="13"/>
      <c r="L162" s="13"/>
      <c r="M162" s="13"/>
      <c r="N162" s="13"/>
      <c r="O162" s="13"/>
      <c r="P162" s="13"/>
    </row>
    <row r="163" spans="1:16" ht="23.25" x14ac:dyDescent="0.35">
      <c r="A163" s="21">
        <v>43513</v>
      </c>
      <c r="B163" s="13"/>
      <c r="C163" s="13"/>
      <c r="D163" s="13"/>
      <c r="E163" s="13"/>
      <c r="F163" s="13"/>
      <c r="G163" s="13"/>
      <c r="H163" s="13"/>
      <c r="I163" s="13"/>
      <c r="J163" s="13"/>
      <c r="K163" s="13"/>
      <c r="L163" s="13"/>
      <c r="M163" s="13"/>
      <c r="N163" s="13"/>
      <c r="O163" s="13"/>
      <c r="P163" s="13"/>
    </row>
    <row r="164" spans="1:16" ht="18" thickBot="1" x14ac:dyDescent="0.35">
      <c r="A164" s="3" t="s">
        <v>48</v>
      </c>
      <c r="B164" s="3" t="s">
        <v>0</v>
      </c>
      <c r="C164" s="3" t="s">
        <v>36</v>
      </c>
      <c r="D164" s="3" t="s">
        <v>8</v>
      </c>
      <c r="E164" s="5" t="s">
        <v>9</v>
      </c>
      <c r="F164" s="5" t="s">
        <v>10</v>
      </c>
      <c r="G164" s="14"/>
      <c r="H164" s="19"/>
      <c r="I164" s="13"/>
      <c r="J164" s="13"/>
      <c r="K164" s="13"/>
      <c r="L164" s="13"/>
      <c r="M164" s="14"/>
      <c r="N164" s="15" t="s">
        <v>8</v>
      </c>
      <c r="O164" s="15" t="s">
        <v>9</v>
      </c>
      <c r="P164" s="15" t="s">
        <v>10</v>
      </c>
    </row>
    <row r="165" spans="1:16" ht="15.75" thickTop="1" x14ac:dyDescent="0.25">
      <c r="A165" s="18">
        <v>43507</v>
      </c>
      <c r="B165" s="16">
        <f>IFERROR(VLOOKUP(A165,OverviewTable[],2,FALSE),"?")</f>
        <v>128</v>
      </c>
      <c r="C165" s="16" t="str">
        <f>((N170 * 4) + (O170 * 9) + (P170 * 4))&amp;"/"&amp;IFERROR(VLOOKUP(A165,OverviewTable[],11,FALSE),"?")</f>
        <v>2288.75/2298</v>
      </c>
      <c r="D165" s="16" t="str">
        <f>N170&amp;"/"&amp;IFERROR(VLOOKUP(A165,OverviewTable[],12,FALSE),"?")</f>
        <v>99.5/128</v>
      </c>
      <c r="E165" s="16" t="str">
        <f>O170&amp;"/"&amp;IFERROR(VLOOKUP(A165,OverviewTable[],13,FALSE),"?")</f>
        <v>106.75/64</v>
      </c>
      <c r="F165" s="16" t="str">
        <f>P170&amp;"/"&amp;IFERROR(VLOOKUP(A165,OverviewTable[],14,FALSE),"?")</f>
        <v>232.5/303</v>
      </c>
      <c r="G165" s="19"/>
      <c r="H165" s="19"/>
      <c r="I165" s="13"/>
      <c r="J165" s="13"/>
      <c r="K165" s="13"/>
      <c r="L165" s="13"/>
      <c r="M165" s="15" t="s">
        <v>6</v>
      </c>
      <c r="N165" s="15">
        <f>(A168 * IFERROR(VLOOKUP(B168,BreakfastTable[],2,FALSE),0)) + (A169 * IFERROR(VLOOKUP(B169,BreakfastTable[],2,FALSE),0)) + (A170 * IFERROR(VLOOKUP(B170,BreakfastTable[],2,FALSE),0)) + (A171 * IFERROR(VLOOKUP(B171,BreakfastTable[],2,FALSE),0))</f>
        <v>29</v>
      </c>
      <c r="O165" s="15">
        <f>(A168 * IFERROR(VLOOKUP(B168,BreakfastTable[],3,FALSE),0)) + (A169 * IFERROR(VLOOKUP(B169,BreakfastTable[],3,FALSE),0)) + (A170 * IFERROR(VLOOKUP(B170,BreakfastTable[],3,FALSE),0)) + (A171 * IFERROR(VLOOKUP(B171,BreakfastTable[],3,FALSE),0))</f>
        <v>14.25</v>
      </c>
      <c r="P165" s="15">
        <f>(A168 * IFERROR(VLOOKUP(B168,BreakfastTable[],4,FALSE),0)) + (A169 * IFERROR(VLOOKUP(B169,BreakfastTable[],4,FALSE),0)) + (A170 * IFERROR(VLOOKUP(B170,BreakfastTable[],4,FALSE),0)) + (A171 * IFERROR(VLOOKUP(B171,BreakfastTable[],4,FALSE),0))</f>
        <v>19.5</v>
      </c>
    </row>
    <row r="166" spans="1:16" x14ac:dyDescent="0.25">
      <c r="A166" s="17"/>
      <c r="B166" s="17"/>
      <c r="C166" s="17"/>
      <c r="D166" s="17"/>
      <c r="E166" s="17"/>
      <c r="F166" s="17"/>
      <c r="G166" s="19"/>
      <c r="H166" s="19"/>
      <c r="I166" s="13"/>
      <c r="J166" s="13"/>
      <c r="K166" s="13"/>
      <c r="L166" s="13"/>
      <c r="M166" s="15" t="s">
        <v>11</v>
      </c>
      <c r="N166" s="15">
        <f>(C168 * IFERROR(VLOOKUP(D168,LunchTable[],2,FALSE),0)) + (C169 * IFERROR(VLOOKUP(D169,LunchTable[],2,FALSE),0)) + (C170 * IFERROR(VLOOKUP(D170,LunchTable[],2,FALSE),0)) + (C171 * IFERROR(VLOOKUP(D171,LunchTable[],2,FALSE),0))</f>
        <v>0</v>
      </c>
      <c r="O166" s="15">
        <f>(C168 * IFERROR(VLOOKUP(D168,LunchTable[],3,FALSE),0)) + (C169 * IFERROR(VLOOKUP(D169,LunchTable[],3,FALSE),0)) + (C170 * IFERROR(VLOOKUP(D170,LunchTable[],3,FALSE),0)) + (C171 * IFERROR(VLOOKUP(D171,LunchTable[],3,FALSE),0))</f>
        <v>0</v>
      </c>
      <c r="P166" s="15">
        <f>(C168 * IFERROR(VLOOKUP(D168,LunchTable[],4,FALSE),0)) + (C169 * IFERROR(VLOOKUP(D169,LunchTable[],4,FALSE),0)) + (C170 * IFERROR(VLOOKUP(D170,LunchTable[],4,FALSE),0)) + (C171 * IFERROR(VLOOKUP(D171,LunchTable[],4,FALSE),0))</f>
        <v>0</v>
      </c>
    </row>
    <row r="167" spans="1:16" ht="18" thickBot="1" x14ac:dyDescent="0.35">
      <c r="A167" s="10" t="s">
        <v>34</v>
      </c>
      <c r="B167" s="11" t="s">
        <v>6</v>
      </c>
      <c r="C167" s="10" t="s">
        <v>34</v>
      </c>
      <c r="D167" s="11" t="s">
        <v>11</v>
      </c>
      <c r="E167" s="10" t="s">
        <v>34</v>
      </c>
      <c r="F167" s="11" t="s">
        <v>12</v>
      </c>
      <c r="G167" s="10" t="s">
        <v>34</v>
      </c>
      <c r="H167" s="12" t="s">
        <v>35</v>
      </c>
      <c r="I167" s="5" t="s">
        <v>41</v>
      </c>
      <c r="J167" s="5" t="s">
        <v>42</v>
      </c>
      <c r="K167" s="5" t="s">
        <v>43</v>
      </c>
      <c r="L167" s="13"/>
      <c r="M167" s="15" t="s">
        <v>12</v>
      </c>
      <c r="N167" s="15">
        <f>(E168 * IFERROR(VLOOKUP(F168,DinnerTable[],2,FALSE),0)) + (E169 * IFERROR(VLOOKUP(F169,DinnerTable[],2,FALSE),0)) + (E170 * IFERROR(VLOOKUP(F170,DinnerTable[],2,FALSE),0)) + (E171 * IFERROR(VLOOKUP(F171,DinnerTable[],2,FALSE),0))</f>
        <v>0</v>
      </c>
      <c r="O167" s="15">
        <f>(E168 * IFERROR(VLOOKUP(F168,DinnerTable[],3,FALSE),0)) + (E169 * IFERROR(VLOOKUP(F169,DinnerTable[],3,FALSE),0)) + (E170 * IFERROR(VLOOKUP(F170,DinnerTable[],3,FALSE),0)) + (E171 * IFERROR(VLOOKUP(F171,DinnerTable[],3,FALSE),0))</f>
        <v>0</v>
      </c>
      <c r="P167" s="15">
        <f>(E168 * IFERROR(VLOOKUP(F168,DinnerTable[],4,FALSE),0)) + (E169 * IFERROR(VLOOKUP(F169,DinnerTable[],4,FALSE),0)) + (E170 * IFERROR(VLOOKUP(F170,DinnerTable[],4,FALSE),0)) + (E171 * IFERROR(VLOOKUP(F171,DinnerTable[],4,FALSE),0))</f>
        <v>0</v>
      </c>
    </row>
    <row r="168" spans="1:16" ht="15.75" thickTop="1" x14ac:dyDescent="0.25">
      <c r="A168" s="17">
        <v>3</v>
      </c>
      <c r="B168" s="17" t="s">
        <v>29</v>
      </c>
      <c r="C168" s="17"/>
      <c r="D168" s="17"/>
      <c r="E168" s="17"/>
      <c r="F168" s="17"/>
      <c r="G168" s="17"/>
      <c r="H168" s="17"/>
      <c r="I168" s="2">
        <v>51</v>
      </c>
      <c r="J168" s="2">
        <v>45</v>
      </c>
      <c r="K168" s="2">
        <v>40</v>
      </c>
      <c r="L168" s="13"/>
      <c r="M168" s="15" t="s">
        <v>35</v>
      </c>
      <c r="N168" s="15">
        <f>(G168 * IFERROR(VLOOKUP(H168,PostWorkoutTable[],2,FALSE),0)) + (G169 * IFERROR(VLOOKUP(H169,PostWorkoutTable[],2,FALSE),0)) + (G170 * IFERROR(VLOOKUP(H170,PostWorkoutTable[],2,FALSE),0)) + (G171 * IFERROR(VLOOKUP(H171,PostWorkoutTable[],2,FALSE),0))</f>
        <v>0</v>
      </c>
      <c r="O168" s="15">
        <f>(G168 * IFERROR(VLOOKUP(H168,PostWorkoutTable[],3,FALSE),0)) + (G169 * IFERROR(VLOOKUP(H169,PostWorkoutTable[],3,FALSE),0)) + (G170 * IFERROR(VLOOKUP(H170,PostWorkoutTable[],3,FALSE),0)) + (G171 * IFERROR(VLOOKUP(H171,PostWorkoutTable[],3,FALSE),0))</f>
        <v>0</v>
      </c>
      <c r="P168" s="15">
        <f>(G168 * IFERROR(VLOOKUP(H168,PostWorkoutTable[],4,FALSE),0)) + (G169 * IFERROR(VLOOKUP(H169,PostWorkoutTable[],4,FALSE),0)) + (G170 * IFERROR(VLOOKUP(H170,PostWorkoutTable[],4,FALSE),0)) + (G171 * IFERROR(VLOOKUP(H171,PostWorkoutTable[],4,FALSE),0))</f>
        <v>0</v>
      </c>
    </row>
    <row r="169" spans="1:16" x14ac:dyDescent="0.25">
      <c r="A169" s="17">
        <v>2</v>
      </c>
      <c r="B169" s="17" t="s">
        <v>49</v>
      </c>
      <c r="C169" s="17"/>
      <c r="D169" s="17"/>
      <c r="E169" s="17"/>
      <c r="F169" s="17"/>
      <c r="G169" s="17"/>
      <c r="H169" s="17"/>
      <c r="I169" s="2">
        <v>0</v>
      </c>
      <c r="J169" s="2">
        <v>0</v>
      </c>
      <c r="K169" s="2">
        <v>78</v>
      </c>
      <c r="L169" s="13"/>
      <c r="M169" s="15" t="s">
        <v>21</v>
      </c>
      <c r="N169" s="15">
        <f xml:space="preserve"> SUM(I168:I171)</f>
        <v>70.5</v>
      </c>
      <c r="O169" s="15">
        <f>SUM(J168:J171)</f>
        <v>92.5</v>
      </c>
      <c r="P169" s="15">
        <f>SUM(K168:K171)</f>
        <v>213</v>
      </c>
    </row>
    <row r="170" spans="1:16" x14ac:dyDescent="0.25">
      <c r="A170" s="17">
        <v>1</v>
      </c>
      <c r="B170" s="17" t="s">
        <v>57</v>
      </c>
      <c r="C170" s="17"/>
      <c r="D170" s="17"/>
      <c r="E170" s="17"/>
      <c r="F170" s="17"/>
      <c r="G170" s="17"/>
      <c r="H170" s="17"/>
      <c r="I170" s="2">
        <v>19.5</v>
      </c>
      <c r="J170" s="2">
        <v>47.5</v>
      </c>
      <c r="K170" s="2">
        <v>95</v>
      </c>
      <c r="L170" s="13"/>
      <c r="M170" s="15" t="s">
        <v>38</v>
      </c>
      <c r="N170" s="15">
        <f>SUM(N165:N169)</f>
        <v>99.5</v>
      </c>
      <c r="O170" s="15">
        <f>SUM(O165:O169)</f>
        <v>106.75</v>
      </c>
      <c r="P170" s="15">
        <f>SUM(P165:P169)</f>
        <v>232.5</v>
      </c>
    </row>
    <row r="171" spans="1:16" x14ac:dyDescent="0.25">
      <c r="A171" s="17"/>
      <c r="B171" s="17"/>
      <c r="C171" s="17"/>
      <c r="D171" s="17"/>
      <c r="E171" s="17"/>
      <c r="F171" s="17"/>
      <c r="G171" s="17"/>
      <c r="H171" s="17"/>
      <c r="I171" s="2"/>
      <c r="J171" s="2"/>
      <c r="K171" s="2"/>
      <c r="L171" s="13"/>
      <c r="M171" s="13"/>
      <c r="N171" s="13"/>
      <c r="O171" s="13"/>
      <c r="P171" s="13"/>
    </row>
    <row r="172" spans="1:16" x14ac:dyDescent="0.25">
      <c r="A172" s="13"/>
      <c r="B172" s="13"/>
      <c r="C172" s="13"/>
      <c r="D172" s="13"/>
      <c r="E172" s="13"/>
      <c r="F172" s="13"/>
      <c r="G172" s="13"/>
      <c r="H172" s="13"/>
      <c r="I172" s="13"/>
      <c r="J172" s="13"/>
      <c r="K172" s="13"/>
      <c r="L172" s="13"/>
      <c r="M172" s="13"/>
      <c r="N172" s="13"/>
      <c r="O172" s="13"/>
      <c r="P172" s="13"/>
    </row>
    <row r="173" spans="1:16" ht="23.25" x14ac:dyDescent="0.35">
      <c r="A173" s="21">
        <v>43514</v>
      </c>
      <c r="B173" s="13"/>
      <c r="C173" s="13"/>
      <c r="D173" s="13"/>
      <c r="E173" s="13"/>
      <c r="F173" s="13"/>
      <c r="G173" s="13"/>
      <c r="H173" s="13"/>
      <c r="I173" s="13"/>
      <c r="J173" s="13"/>
      <c r="K173" s="13"/>
      <c r="L173" s="13"/>
      <c r="M173" s="13"/>
      <c r="N173" s="13"/>
      <c r="O173" s="13"/>
      <c r="P173" s="13"/>
    </row>
    <row r="174" spans="1:16" ht="18" thickBot="1" x14ac:dyDescent="0.35">
      <c r="A174" s="3" t="s">
        <v>48</v>
      </c>
      <c r="B174" s="3" t="s">
        <v>0</v>
      </c>
      <c r="C174" s="3" t="s">
        <v>36</v>
      </c>
      <c r="D174" s="3" t="s">
        <v>8</v>
      </c>
      <c r="E174" s="5" t="s">
        <v>9</v>
      </c>
      <c r="F174" s="5" t="s">
        <v>10</v>
      </c>
      <c r="G174" s="14"/>
      <c r="H174" s="19"/>
      <c r="I174" s="13"/>
      <c r="J174" s="13"/>
      <c r="K174" s="13"/>
      <c r="L174" s="13"/>
      <c r="M174" s="14"/>
      <c r="N174" s="15" t="s">
        <v>8</v>
      </c>
      <c r="O174" s="15" t="s">
        <v>9</v>
      </c>
      <c r="P174" s="15" t="s">
        <v>10</v>
      </c>
    </row>
    <row r="175" spans="1:16" ht="15.75" thickTop="1" x14ac:dyDescent="0.25">
      <c r="A175" s="18">
        <v>43514</v>
      </c>
      <c r="B175" s="16">
        <f>IFERROR(VLOOKUP(A175,OverviewTable[],2,FALSE),"?")</f>
        <v>127.4</v>
      </c>
      <c r="C175" s="16" t="str">
        <f>((N180 * 4) + (O180 * 9) + (P180 * 4))&amp;"/"&amp;IFERROR(VLOOKUP(A175,OverviewTable[],11,FALSE),"?")</f>
        <v>2309.5/2288.4</v>
      </c>
      <c r="D175" s="16" t="str">
        <f>N180&amp;"/"&amp;IFERROR(VLOOKUP(A175,OverviewTable[],12,FALSE),"?")</f>
        <v>154.2/127</v>
      </c>
      <c r="E175" s="16" t="str">
        <f>O180&amp;"/"&amp;IFERROR(VLOOKUP(A175,OverviewTable[],13,FALSE),"?")</f>
        <v>103.9/64</v>
      </c>
      <c r="F175" s="16" t="str">
        <f>P180&amp;"/"&amp;IFERROR(VLOOKUP(A175,OverviewTable[],14,FALSE),"?")</f>
        <v>189.4/301</v>
      </c>
      <c r="G175" s="19"/>
      <c r="H175" s="19"/>
      <c r="I175" s="13"/>
      <c r="J175" s="13"/>
      <c r="K175" s="13"/>
      <c r="L175" s="13"/>
      <c r="M175" s="15" t="s">
        <v>6</v>
      </c>
      <c r="N175" s="15">
        <f>(A178 * IFERROR(VLOOKUP(B178,BreakfastTable[],2,FALSE),0)) + (A179 * IFERROR(VLOOKUP(B179,BreakfastTable[],2,FALSE),0)) + (A180 * IFERROR(VLOOKUP(B180,BreakfastTable[],2,FALSE),0)) + (A181 * IFERROR(VLOOKUP(B181,BreakfastTable[],2,FALSE),0))</f>
        <v>32.200000000000003</v>
      </c>
      <c r="O175" s="15">
        <f>(A178 * IFERROR(VLOOKUP(B178,BreakfastTable[],3,FALSE),0)) + (A179 * IFERROR(VLOOKUP(B179,BreakfastTable[],3,FALSE),0)) + (A180 * IFERROR(VLOOKUP(B180,BreakfastTable[],3,FALSE),0)) + (A181 * IFERROR(VLOOKUP(B181,BreakfastTable[],3,FALSE),0))</f>
        <v>14.9</v>
      </c>
      <c r="P175" s="15">
        <f>(A178 * IFERROR(VLOOKUP(B178,BreakfastTable[],4,FALSE),0)) + (A179 * IFERROR(VLOOKUP(B179,BreakfastTable[],4,FALSE),0)) + (A180 * IFERROR(VLOOKUP(B180,BreakfastTable[],4,FALSE),0)) + (A181 * IFERROR(VLOOKUP(B181,BreakfastTable[],4,FALSE),0))</f>
        <v>50.4</v>
      </c>
    </row>
    <row r="176" spans="1:16" x14ac:dyDescent="0.25">
      <c r="A176" s="17"/>
      <c r="B176" s="17"/>
      <c r="C176" s="17"/>
      <c r="D176" s="17"/>
      <c r="E176" s="17"/>
      <c r="F176" s="17"/>
      <c r="G176" s="19"/>
      <c r="H176" s="19"/>
      <c r="I176" s="13"/>
      <c r="J176" s="13"/>
      <c r="K176" s="13"/>
      <c r="L176" s="13"/>
      <c r="M176" s="15" t="s">
        <v>11</v>
      </c>
      <c r="N176" s="15">
        <f>(C178 * IFERROR(VLOOKUP(D178,LunchTable[],2,FALSE),0)) + (C179 * IFERROR(VLOOKUP(D179,LunchTable[],2,FALSE),0)) + (C180 * IFERROR(VLOOKUP(D180,LunchTable[],2,FALSE),0)) + (C181 * IFERROR(VLOOKUP(D181,LunchTable[],2,FALSE),0))</f>
        <v>0</v>
      </c>
      <c r="O176" s="15">
        <f>(C178 * IFERROR(VLOOKUP(D178,LunchTable[],3,FALSE),0)) + (C179 * IFERROR(VLOOKUP(D179,LunchTable[],3,FALSE),0)) + (C180 * IFERROR(VLOOKUP(D180,LunchTable[],3,FALSE),0)) + (C181 * IFERROR(VLOOKUP(D181,LunchTable[],3,FALSE),0))</f>
        <v>0</v>
      </c>
      <c r="P176" s="15">
        <f>(C178 * IFERROR(VLOOKUP(D178,LunchTable[],4,FALSE),0)) + (C179 * IFERROR(VLOOKUP(D179,LunchTable[],4,FALSE),0)) + (C180 * IFERROR(VLOOKUP(D180,LunchTable[],4,FALSE),0)) + (C181 * IFERROR(VLOOKUP(D181,LunchTable[],4,FALSE),0))</f>
        <v>0</v>
      </c>
    </row>
    <row r="177" spans="1:16" ht="18" thickBot="1" x14ac:dyDescent="0.35">
      <c r="A177" s="10" t="s">
        <v>34</v>
      </c>
      <c r="B177" s="11" t="s">
        <v>6</v>
      </c>
      <c r="C177" s="10" t="s">
        <v>34</v>
      </c>
      <c r="D177" s="11" t="s">
        <v>11</v>
      </c>
      <c r="E177" s="10" t="s">
        <v>34</v>
      </c>
      <c r="F177" s="11" t="s">
        <v>12</v>
      </c>
      <c r="G177" s="10" t="s">
        <v>34</v>
      </c>
      <c r="H177" s="12" t="s">
        <v>35</v>
      </c>
      <c r="I177" s="5" t="s">
        <v>41</v>
      </c>
      <c r="J177" s="5" t="s">
        <v>42</v>
      </c>
      <c r="K177" s="5" t="s">
        <v>43</v>
      </c>
      <c r="L177" s="13"/>
      <c r="M177" s="15" t="s">
        <v>12</v>
      </c>
      <c r="N177" s="15">
        <f>(E178 * IFERROR(VLOOKUP(F178,DinnerTable[],2,FALSE),0)) + (E179 * IFERROR(VLOOKUP(F179,DinnerTable[],2,FALSE),0)) + (E180 * IFERROR(VLOOKUP(F180,DinnerTable[],2,FALSE),0)) + (E181 * IFERROR(VLOOKUP(F181,DinnerTable[],2,FALSE),0))</f>
        <v>61</v>
      </c>
      <c r="O177" s="15">
        <f>(E178 * IFERROR(VLOOKUP(F178,DinnerTable[],3,FALSE),0)) + (E179 * IFERROR(VLOOKUP(F179,DinnerTable[],3,FALSE),0)) + (E180 * IFERROR(VLOOKUP(F180,DinnerTable[],3,FALSE),0)) + (E181 * IFERROR(VLOOKUP(F181,DinnerTable[],3,FALSE),0))</f>
        <v>43</v>
      </c>
      <c r="P177" s="15">
        <f>(E178 * IFERROR(VLOOKUP(F178,DinnerTable[],4,FALSE),0)) + (E179 * IFERROR(VLOOKUP(F179,DinnerTable[],4,FALSE),0)) + (E180 * IFERROR(VLOOKUP(F180,DinnerTable[],4,FALSE),0)) + (E181 * IFERROR(VLOOKUP(F181,DinnerTable[],4,FALSE),0))</f>
        <v>56</v>
      </c>
    </row>
    <row r="178" spans="1:16" ht="15.75" thickTop="1" x14ac:dyDescent="0.25">
      <c r="A178" s="17">
        <v>1</v>
      </c>
      <c r="B178" s="17" t="s">
        <v>96</v>
      </c>
      <c r="C178" s="17"/>
      <c r="D178" s="17"/>
      <c r="E178" s="17">
        <v>1</v>
      </c>
      <c r="F178" s="17" t="s">
        <v>50</v>
      </c>
      <c r="G178" s="17">
        <v>1</v>
      </c>
      <c r="H178" s="17" t="s">
        <v>26</v>
      </c>
      <c r="I178" s="2">
        <v>41</v>
      </c>
      <c r="J178" s="2">
        <v>37</v>
      </c>
      <c r="K178" s="2">
        <v>53</v>
      </c>
      <c r="L178" s="13"/>
      <c r="M178" s="15" t="s">
        <v>35</v>
      </c>
      <c r="N178" s="15">
        <f>(G178 * IFERROR(VLOOKUP(H178,PostWorkoutTable[],2,FALSE),0)) + (G179 * IFERROR(VLOOKUP(H179,PostWorkoutTable[],2,FALSE),0)) + (G180 * IFERROR(VLOOKUP(H180,PostWorkoutTable[],2,FALSE),0)) + (G181 * IFERROR(VLOOKUP(H181,PostWorkoutTable[],2,FALSE),0))</f>
        <v>20</v>
      </c>
      <c r="O178" s="15">
        <f>(G178 * IFERROR(VLOOKUP(H178,PostWorkoutTable[],3,FALSE),0)) + (G179 * IFERROR(VLOOKUP(H179,PostWorkoutTable[],3,FALSE),0)) + (G180 * IFERROR(VLOOKUP(H180,PostWorkoutTable[],3,FALSE),0)) + (G181 * IFERROR(VLOOKUP(H181,PostWorkoutTable[],3,FALSE),0))</f>
        <v>9</v>
      </c>
      <c r="P178" s="15">
        <f>(G178 * IFERROR(VLOOKUP(H178,PostWorkoutTable[],4,FALSE),0)) + (G179 * IFERROR(VLOOKUP(H179,PostWorkoutTable[],4,FALSE),0)) + (G180 * IFERROR(VLOOKUP(H180,PostWorkoutTable[],4,FALSE),0)) + (G181 * IFERROR(VLOOKUP(H181,PostWorkoutTable[],4,FALSE),0))</f>
        <v>30</v>
      </c>
    </row>
    <row r="179" spans="1:16" x14ac:dyDescent="0.25">
      <c r="A179" s="17"/>
      <c r="B179" s="17"/>
      <c r="C179" s="17"/>
      <c r="D179" s="17"/>
      <c r="E179" s="17">
        <v>2</v>
      </c>
      <c r="F179" s="17" t="s">
        <v>65</v>
      </c>
      <c r="G179" s="17"/>
      <c r="H179" s="17"/>
      <c r="I179" s="2"/>
      <c r="J179" s="2"/>
      <c r="K179" s="2"/>
      <c r="L179" s="13"/>
      <c r="M179" s="15" t="s">
        <v>21</v>
      </c>
      <c r="N179" s="15">
        <f xml:space="preserve"> SUM(I178:I181)</f>
        <v>41</v>
      </c>
      <c r="O179" s="15">
        <f>SUM(J178:J181)</f>
        <v>37</v>
      </c>
      <c r="P179" s="15">
        <f>SUM(K178:K181)</f>
        <v>53</v>
      </c>
    </row>
    <row r="180" spans="1:16" x14ac:dyDescent="0.25">
      <c r="A180" s="17"/>
      <c r="B180" s="17"/>
      <c r="C180" s="17"/>
      <c r="D180" s="17"/>
      <c r="E180" s="17">
        <v>2</v>
      </c>
      <c r="F180" s="17" t="s">
        <v>66</v>
      </c>
      <c r="G180" s="17"/>
      <c r="H180" s="17"/>
      <c r="I180" s="2"/>
      <c r="J180" s="2"/>
      <c r="K180" s="2"/>
      <c r="L180" s="13"/>
      <c r="M180" s="15" t="s">
        <v>38</v>
      </c>
      <c r="N180" s="15">
        <f>SUM(N175:N179)</f>
        <v>154.19999999999999</v>
      </c>
      <c r="O180" s="15">
        <f>SUM(O175:O179)</f>
        <v>103.9</v>
      </c>
      <c r="P180" s="15">
        <f>SUM(P175:P179)</f>
        <v>189.4</v>
      </c>
    </row>
    <row r="181" spans="1:16" x14ac:dyDescent="0.25">
      <c r="A181" s="17"/>
      <c r="B181" s="17"/>
      <c r="C181" s="17"/>
      <c r="D181" s="17"/>
      <c r="E181" s="17"/>
      <c r="F181" s="17"/>
      <c r="G181" s="17"/>
      <c r="H181" s="17"/>
      <c r="I181" s="2"/>
      <c r="J181" s="2"/>
      <c r="K181" s="2"/>
      <c r="L181" s="13"/>
      <c r="M181" s="13"/>
      <c r="N181" s="13"/>
      <c r="O181" s="13"/>
      <c r="P181" s="13"/>
    </row>
    <row r="182" spans="1:16" x14ac:dyDescent="0.25">
      <c r="A182" s="13"/>
      <c r="B182" s="13"/>
      <c r="C182" s="13"/>
      <c r="D182" s="13"/>
      <c r="E182" s="13"/>
      <c r="F182" s="13"/>
      <c r="G182" s="13"/>
      <c r="H182" s="13"/>
      <c r="I182" s="13"/>
      <c r="J182" s="13"/>
      <c r="K182" s="13"/>
      <c r="L182" s="13"/>
      <c r="M182" s="13"/>
      <c r="N182" s="13"/>
      <c r="O182" s="13"/>
      <c r="P182" s="13"/>
    </row>
    <row r="183" spans="1:16" ht="23.25" x14ac:dyDescent="0.35">
      <c r="A183" s="21">
        <v>43515</v>
      </c>
      <c r="B183" s="13"/>
      <c r="C183" s="13"/>
      <c r="D183" s="13"/>
      <c r="E183" s="13"/>
      <c r="F183" s="13"/>
      <c r="G183" s="13"/>
      <c r="H183" s="13"/>
      <c r="I183" s="13"/>
      <c r="J183" s="13"/>
      <c r="K183" s="13"/>
      <c r="L183" s="13"/>
      <c r="M183" s="13"/>
      <c r="N183" s="13"/>
      <c r="O183" s="13"/>
      <c r="P183" s="13"/>
    </row>
    <row r="184" spans="1:16" ht="18" thickBot="1" x14ac:dyDescent="0.35">
      <c r="A184" s="3" t="s">
        <v>48</v>
      </c>
      <c r="B184" s="3" t="s">
        <v>0</v>
      </c>
      <c r="C184" s="3" t="s">
        <v>36</v>
      </c>
      <c r="D184" s="3" t="s">
        <v>8</v>
      </c>
      <c r="E184" s="5" t="s">
        <v>9</v>
      </c>
      <c r="F184" s="5" t="s">
        <v>10</v>
      </c>
      <c r="G184" s="14"/>
      <c r="H184" s="19"/>
      <c r="I184" s="13"/>
      <c r="J184" s="13"/>
      <c r="K184" s="13"/>
      <c r="L184" s="13"/>
      <c r="M184" s="14"/>
      <c r="N184" s="15" t="s">
        <v>8</v>
      </c>
      <c r="O184" s="15" t="s">
        <v>9</v>
      </c>
      <c r="P184" s="15" t="s">
        <v>10</v>
      </c>
    </row>
    <row r="185" spans="1:16" ht="15.75" thickTop="1" x14ac:dyDescent="0.25">
      <c r="A185" s="18">
        <v>43514</v>
      </c>
      <c r="B185" s="16">
        <f>IFERROR(VLOOKUP(A185,OverviewTable[],2,FALSE),"?")</f>
        <v>127.4</v>
      </c>
      <c r="C185" s="16" t="str">
        <f>((N190 * 4) + (O190 * 9) + (P190 * 4))&amp;"/"&amp;IFERROR(VLOOKUP(A185,OverviewTable[],11,FALSE),"?")</f>
        <v>1837.825/2288.4</v>
      </c>
      <c r="D185" s="16" t="str">
        <f>N190&amp;"/"&amp;IFERROR(VLOOKUP(A185,OverviewTable[],12,FALSE),"?")</f>
        <v>159.625/127</v>
      </c>
      <c r="E185" s="16" t="str">
        <f>O190&amp;"/"&amp;IFERROR(VLOOKUP(A185,OverviewTable[],13,FALSE),"?")</f>
        <v>51.925/64</v>
      </c>
      <c r="F185" s="16" t="str">
        <f>P190&amp;"/"&amp;IFERROR(VLOOKUP(A185,OverviewTable[],14,FALSE),"?")</f>
        <v>183/301</v>
      </c>
      <c r="G185" s="19"/>
      <c r="H185" s="19"/>
      <c r="I185" s="13"/>
      <c r="J185" s="13"/>
      <c r="K185" s="13"/>
      <c r="L185" s="13"/>
      <c r="M185" s="15" t="s">
        <v>6</v>
      </c>
      <c r="N185" s="15">
        <f>(A188 * IFERROR(VLOOKUP(B188,BreakfastTable[],2,FALSE),0)) + (A189 * IFERROR(VLOOKUP(B189,BreakfastTable[],2,FALSE),0)) + (A190 * IFERROR(VLOOKUP(B190,BreakfastTable[],2,FALSE),0)) + (A191 * IFERROR(VLOOKUP(B191,BreakfastTable[],2,FALSE),0))</f>
        <v>20</v>
      </c>
      <c r="O185" s="15">
        <f>(A188 * IFERROR(VLOOKUP(B188,BreakfastTable[],3,FALSE),0)) + (A189 * IFERROR(VLOOKUP(B189,BreakfastTable[],3,FALSE),0)) + (A190 * IFERROR(VLOOKUP(B190,BreakfastTable[],3,FALSE),0)) + (A191 * IFERROR(VLOOKUP(B191,BreakfastTable[],3,FALSE),0))</f>
        <v>9</v>
      </c>
      <c r="P185" s="15">
        <f>(A188 * IFERROR(VLOOKUP(B188,BreakfastTable[],4,FALSE),0)) + (A189 * IFERROR(VLOOKUP(B189,BreakfastTable[],4,FALSE),0)) + (A190 * IFERROR(VLOOKUP(B190,BreakfastTable[],4,FALSE),0)) + (A191 * IFERROR(VLOOKUP(B191,BreakfastTable[],4,FALSE),0))</f>
        <v>30</v>
      </c>
    </row>
    <row r="186" spans="1:16" x14ac:dyDescent="0.25">
      <c r="A186" s="17"/>
      <c r="B186" s="17"/>
      <c r="C186" s="17"/>
      <c r="D186" s="17"/>
      <c r="E186" s="17"/>
      <c r="F186" s="17"/>
      <c r="G186" s="19"/>
      <c r="H186" s="19"/>
      <c r="I186" s="13"/>
      <c r="J186" s="13"/>
      <c r="K186" s="13"/>
      <c r="L186" s="13"/>
      <c r="M186" s="15" t="s">
        <v>11</v>
      </c>
      <c r="N186" s="15">
        <f>(C188 * IFERROR(VLOOKUP(D188,LunchTable[],2,FALSE),0)) + (C189 * IFERROR(VLOOKUP(D189,LunchTable[],2,FALSE),0)) + (C190 * IFERROR(VLOOKUP(D190,LunchTable[],2,FALSE),0)) + (C191 * IFERROR(VLOOKUP(D191,LunchTable[],2,FALSE),0))</f>
        <v>47</v>
      </c>
      <c r="O186" s="15">
        <f>(C188 * IFERROR(VLOOKUP(D188,LunchTable[],3,FALSE),0)) + (C189 * IFERROR(VLOOKUP(D189,LunchTable[],3,FALSE),0)) + (C190 * IFERROR(VLOOKUP(D190,LunchTable[],3,FALSE),0)) + (C191 * IFERROR(VLOOKUP(D191,LunchTable[],3,FALSE),0))</f>
        <v>9</v>
      </c>
      <c r="P186" s="15">
        <f>(C188 * IFERROR(VLOOKUP(D188,LunchTable[],4,FALSE),0)) + (C189 * IFERROR(VLOOKUP(D189,LunchTable[],4,FALSE),0)) + (C190 * IFERROR(VLOOKUP(D190,LunchTable[],4,FALSE),0)) + (C191 * IFERROR(VLOOKUP(D191,LunchTable[],4,FALSE),0))</f>
        <v>63</v>
      </c>
    </row>
    <row r="187" spans="1:16" ht="18" thickBot="1" x14ac:dyDescent="0.35">
      <c r="A187" s="10" t="s">
        <v>34</v>
      </c>
      <c r="B187" s="11" t="s">
        <v>6</v>
      </c>
      <c r="C187" s="10" t="s">
        <v>34</v>
      </c>
      <c r="D187" s="11" t="s">
        <v>11</v>
      </c>
      <c r="E187" s="10" t="s">
        <v>34</v>
      </c>
      <c r="F187" s="11" t="s">
        <v>12</v>
      </c>
      <c r="G187" s="10" t="s">
        <v>34</v>
      </c>
      <c r="H187" s="12" t="s">
        <v>35</v>
      </c>
      <c r="I187" s="5" t="s">
        <v>41</v>
      </c>
      <c r="J187" s="5" t="s">
        <v>42</v>
      </c>
      <c r="K187" s="5" t="s">
        <v>43</v>
      </c>
      <c r="L187" s="13"/>
      <c r="M187" s="15" t="s">
        <v>12</v>
      </c>
      <c r="N187" s="15">
        <f>(E188 * IFERROR(VLOOKUP(F188,DinnerTable[],2,FALSE),0)) + (E189 * IFERROR(VLOOKUP(F189,DinnerTable[],2,FALSE),0)) + (E190 * IFERROR(VLOOKUP(F190,DinnerTable[],2,FALSE),0)) + (E191 * IFERROR(VLOOKUP(F191,DinnerTable[],2,FALSE),0))</f>
        <v>92.625</v>
      </c>
      <c r="O187" s="15">
        <f>(E188 * IFERROR(VLOOKUP(F188,DinnerTable[],3,FALSE),0)) + (E189 * IFERROR(VLOOKUP(F189,DinnerTable[],3,FALSE),0)) + (E190 * IFERROR(VLOOKUP(F190,DinnerTable[],3,FALSE),0)) + (E191 * IFERROR(VLOOKUP(F191,DinnerTable[],3,FALSE),0))</f>
        <v>33.924999999999997</v>
      </c>
      <c r="P187" s="15">
        <f>(E188 * IFERROR(VLOOKUP(F188,DinnerTable[],4,FALSE),0)) + (E189 * IFERROR(VLOOKUP(F189,DinnerTable[],4,FALSE),0)) + (E190 * IFERROR(VLOOKUP(F190,DinnerTable[],4,FALSE),0)) + (E191 * IFERROR(VLOOKUP(F191,DinnerTable[],4,FALSE),0))</f>
        <v>90</v>
      </c>
    </row>
    <row r="188" spans="1:16" ht="15.75" thickTop="1" x14ac:dyDescent="0.25">
      <c r="A188" s="17">
        <v>1</v>
      </c>
      <c r="B188" s="17" t="s">
        <v>26</v>
      </c>
      <c r="C188" s="17">
        <v>0.25</v>
      </c>
      <c r="D188" s="17" t="s">
        <v>51</v>
      </c>
      <c r="E188" s="17">
        <v>5</v>
      </c>
      <c r="F188" s="17" t="s">
        <v>22</v>
      </c>
      <c r="G188" s="17"/>
      <c r="H188" s="17"/>
      <c r="I188" s="2"/>
      <c r="J188" s="2"/>
      <c r="K188" s="2"/>
      <c r="L188" s="13"/>
      <c r="M188" s="15" t="s">
        <v>35</v>
      </c>
      <c r="N188" s="15">
        <f>(G188 * IFERROR(VLOOKUP(H188,PostWorkoutTable[],2,FALSE),0)) + (G189 * IFERROR(VLOOKUP(H189,PostWorkoutTable[],2,FALSE),0)) + (G190 * IFERROR(VLOOKUP(H190,PostWorkoutTable[],2,FALSE),0)) + (G191 * IFERROR(VLOOKUP(H191,PostWorkoutTable[],2,FALSE),0))</f>
        <v>0</v>
      </c>
      <c r="O188" s="15">
        <f>(G188 * IFERROR(VLOOKUP(H188,PostWorkoutTable[],3,FALSE),0)) + (G189 * IFERROR(VLOOKUP(H189,PostWorkoutTable[],3,FALSE),0)) + (G190 * IFERROR(VLOOKUP(H190,PostWorkoutTable[],3,FALSE),0)) + (G191 * IFERROR(VLOOKUP(H191,PostWorkoutTable[],3,FALSE),0))</f>
        <v>0</v>
      </c>
      <c r="P188" s="15">
        <f>(G188 * IFERROR(VLOOKUP(H188,PostWorkoutTable[],4,FALSE),0)) + (G189 * IFERROR(VLOOKUP(H189,PostWorkoutTable[],4,FALSE),0)) + (G190 * IFERROR(VLOOKUP(H190,PostWorkoutTable[],4,FALSE),0)) + (G191 * IFERROR(VLOOKUP(H191,PostWorkoutTable[],4,FALSE),0))</f>
        <v>0</v>
      </c>
    </row>
    <row r="189" spans="1:16" x14ac:dyDescent="0.25">
      <c r="A189" s="17"/>
      <c r="B189" s="17"/>
      <c r="C189" s="17">
        <v>0.25</v>
      </c>
      <c r="D189" s="17" t="s">
        <v>52</v>
      </c>
      <c r="E189" s="17">
        <v>0.33</v>
      </c>
      <c r="F189" s="17" t="s">
        <v>60</v>
      </c>
      <c r="G189" s="17"/>
      <c r="H189" s="17"/>
      <c r="I189" s="2"/>
      <c r="J189" s="2"/>
      <c r="K189" s="2"/>
      <c r="L189" s="13"/>
      <c r="M189" s="15" t="s">
        <v>21</v>
      </c>
      <c r="N189" s="15">
        <f xml:space="preserve"> SUM(I188:I191)</f>
        <v>0</v>
      </c>
      <c r="O189" s="15">
        <f>SUM(J188:J191)</f>
        <v>0</v>
      </c>
      <c r="P189" s="15">
        <f>SUM(K188:K191)</f>
        <v>0</v>
      </c>
    </row>
    <row r="190" spans="1:16" x14ac:dyDescent="0.25">
      <c r="A190" s="17"/>
      <c r="B190" s="17"/>
      <c r="C190" s="17">
        <v>1</v>
      </c>
      <c r="D190" s="17" t="s">
        <v>23</v>
      </c>
      <c r="E190" s="17"/>
      <c r="F190" s="17"/>
      <c r="G190" s="17"/>
      <c r="H190" s="17"/>
      <c r="I190" s="2"/>
      <c r="J190" s="2"/>
      <c r="K190" s="2"/>
      <c r="L190" s="13"/>
      <c r="M190" s="15" t="s">
        <v>38</v>
      </c>
      <c r="N190" s="15">
        <f>SUM(N185:N189)</f>
        <v>159.625</v>
      </c>
      <c r="O190" s="15">
        <f>SUM(O185:O189)</f>
        <v>51.924999999999997</v>
      </c>
      <c r="P190" s="15">
        <f>SUM(P185:P189)</f>
        <v>183</v>
      </c>
    </row>
    <row r="191" spans="1:16" x14ac:dyDescent="0.25">
      <c r="A191" s="17"/>
      <c r="B191" s="17"/>
      <c r="C191" s="17"/>
      <c r="D191" s="17"/>
      <c r="E191" s="17"/>
      <c r="F191" s="17"/>
      <c r="G191" s="17"/>
      <c r="H191" s="17"/>
      <c r="I191" s="2"/>
      <c r="J191" s="2"/>
      <c r="K191" s="2"/>
      <c r="L191" s="13"/>
      <c r="M191" s="13"/>
      <c r="N191" s="13"/>
      <c r="O191" s="13"/>
      <c r="P191" s="13"/>
    </row>
    <row r="192" spans="1:16" x14ac:dyDescent="0.25">
      <c r="A192" s="13"/>
      <c r="B192" s="13"/>
      <c r="C192" s="13"/>
      <c r="D192" s="13"/>
      <c r="E192" s="13"/>
      <c r="F192" s="13"/>
      <c r="G192" s="13"/>
      <c r="H192" s="13"/>
      <c r="I192" s="13"/>
      <c r="J192" s="13"/>
      <c r="K192" s="13"/>
      <c r="L192" s="13"/>
      <c r="M192" s="13"/>
      <c r="N192" s="13"/>
      <c r="O192" s="13"/>
      <c r="P192" s="13"/>
    </row>
    <row r="193" spans="1:16" ht="23.25" x14ac:dyDescent="0.35">
      <c r="A193" s="21">
        <v>43516</v>
      </c>
      <c r="B193" s="13"/>
      <c r="C193" s="13"/>
      <c r="D193" s="13"/>
      <c r="E193" s="13"/>
      <c r="F193" s="13"/>
      <c r="G193" s="13"/>
      <c r="H193" s="13"/>
      <c r="I193" s="13"/>
      <c r="J193" s="13"/>
      <c r="K193" s="13"/>
      <c r="L193" s="13"/>
      <c r="M193" s="13"/>
      <c r="N193" s="13"/>
      <c r="O193" s="13"/>
      <c r="P193" s="13"/>
    </row>
    <row r="194" spans="1:16" ht="18" thickBot="1" x14ac:dyDescent="0.35">
      <c r="A194" s="3" t="s">
        <v>48</v>
      </c>
      <c r="B194" s="3" t="s">
        <v>0</v>
      </c>
      <c r="C194" s="3" t="s">
        <v>36</v>
      </c>
      <c r="D194" s="3" t="s">
        <v>8</v>
      </c>
      <c r="E194" s="5" t="s">
        <v>9</v>
      </c>
      <c r="F194" s="5" t="s">
        <v>10</v>
      </c>
      <c r="G194" s="14"/>
      <c r="H194" s="19"/>
      <c r="I194" s="13"/>
      <c r="J194" s="13"/>
      <c r="K194" s="13"/>
      <c r="L194" s="13"/>
      <c r="M194" s="14"/>
      <c r="N194" s="15" t="s">
        <v>8</v>
      </c>
      <c r="O194" s="15" t="s">
        <v>9</v>
      </c>
      <c r="P194" s="15" t="s">
        <v>10</v>
      </c>
    </row>
    <row r="195" spans="1:16" ht="15.75" thickTop="1" x14ac:dyDescent="0.25">
      <c r="A195" s="18">
        <v>43514</v>
      </c>
      <c r="B195" s="16">
        <f>IFERROR(VLOOKUP(A195,OverviewTable[],2,FALSE),"?")</f>
        <v>127.4</v>
      </c>
      <c r="C195" s="16" t="str">
        <f>((N200 * 4) + (O200 * 9) + (P200 * 4))&amp;"/"&amp;IFERROR(VLOOKUP(A195,OverviewTable[],11,FALSE),"?")</f>
        <v>1847.951/2288.4</v>
      </c>
      <c r="D195" s="16" t="str">
        <f>N200&amp;"/"&amp;IFERROR(VLOOKUP(A195,OverviewTable[],12,FALSE),"?")</f>
        <v>148.335/127</v>
      </c>
      <c r="E195" s="16" t="str">
        <f>O200&amp;"/"&amp;IFERROR(VLOOKUP(A195,OverviewTable[],13,FALSE),"?")</f>
        <v>69.131/64</v>
      </c>
      <c r="F195" s="16" t="str">
        <f>P200&amp;"/"&amp;IFERROR(VLOOKUP(A195,OverviewTable[],14,FALSE),"?")</f>
        <v>158.108/301</v>
      </c>
      <c r="G195" s="19"/>
      <c r="H195" s="19"/>
      <c r="I195" s="13"/>
      <c r="J195" s="13"/>
      <c r="K195" s="13"/>
      <c r="L195" s="13"/>
      <c r="M195" s="15" t="s">
        <v>6</v>
      </c>
      <c r="N195" s="15">
        <f>(A198 * IFERROR(VLOOKUP(B198,BreakfastTable[],2,FALSE),0)) + (A199 * IFERROR(VLOOKUP(B199,BreakfastTable[],2,FALSE),0)) + (A200 * IFERROR(VLOOKUP(B200,BreakfastTable[],2,FALSE),0)) + (A201 * IFERROR(VLOOKUP(B201,BreakfastTable[],2,FALSE),0))</f>
        <v>32.200000000000003</v>
      </c>
      <c r="O195" s="15">
        <f>(A198 * IFERROR(VLOOKUP(B198,BreakfastTable[],3,FALSE),0)) + (A199 * IFERROR(VLOOKUP(B199,BreakfastTable[],3,FALSE),0)) + (A200 * IFERROR(VLOOKUP(B200,BreakfastTable[],3,FALSE),0)) + (A201 * IFERROR(VLOOKUP(B201,BreakfastTable[],3,FALSE),0))</f>
        <v>14.7</v>
      </c>
      <c r="P195" s="15">
        <f>(A198 * IFERROR(VLOOKUP(B198,BreakfastTable[],4,FALSE),0)) + (A199 * IFERROR(VLOOKUP(B199,BreakfastTable[],4,FALSE),0)) + (A200 * IFERROR(VLOOKUP(B200,BreakfastTable[],4,FALSE),0)) + (A201 * IFERROR(VLOOKUP(B201,BreakfastTable[],4,FALSE),0))</f>
        <v>55.4</v>
      </c>
    </row>
    <row r="196" spans="1:16" x14ac:dyDescent="0.25">
      <c r="A196" s="17"/>
      <c r="B196" s="17"/>
      <c r="C196" s="17"/>
      <c r="D196" s="17"/>
      <c r="E196" s="17"/>
      <c r="F196" s="17"/>
      <c r="G196" s="19"/>
      <c r="H196" s="19"/>
      <c r="I196" s="13"/>
      <c r="J196" s="13"/>
      <c r="K196" s="13"/>
      <c r="L196" s="13"/>
      <c r="M196" s="15" t="s">
        <v>11</v>
      </c>
      <c r="N196" s="15">
        <f>(C198 * IFERROR(VLOOKUP(D198,LunchTable[],2,FALSE),0)) + (C199 * IFERROR(VLOOKUP(D199,LunchTable[],2,FALSE),0)) + (C200 * IFERROR(VLOOKUP(D200,LunchTable[],2,FALSE),0)) + (C201 * IFERROR(VLOOKUP(D201,LunchTable[],2,FALSE),0))</f>
        <v>83.625</v>
      </c>
      <c r="O196" s="15">
        <f>(C198 * IFERROR(VLOOKUP(D198,LunchTable[],3,FALSE),0)) + (C199 * IFERROR(VLOOKUP(D199,LunchTable[],3,FALSE),0)) + (C200 * IFERROR(VLOOKUP(D200,LunchTable[],3,FALSE),0)) + (C201 * IFERROR(VLOOKUP(D201,LunchTable[],3,FALSE),0))</f>
        <v>29.925000000000001</v>
      </c>
      <c r="P196" s="15">
        <f>(C198 * IFERROR(VLOOKUP(D198,LunchTable[],4,FALSE),0)) + (C199 * IFERROR(VLOOKUP(D199,LunchTable[],4,FALSE),0)) + (C200 * IFERROR(VLOOKUP(D200,LunchTable[],4,FALSE),0)) + (C201 * IFERROR(VLOOKUP(D201,LunchTable[],4,FALSE),0))</f>
        <v>54</v>
      </c>
    </row>
    <row r="197" spans="1:16" ht="18" thickBot="1" x14ac:dyDescent="0.35">
      <c r="A197" s="10" t="s">
        <v>34</v>
      </c>
      <c r="B197" s="11" t="s">
        <v>6</v>
      </c>
      <c r="C197" s="10" t="s">
        <v>34</v>
      </c>
      <c r="D197" s="11" t="s">
        <v>11</v>
      </c>
      <c r="E197" s="10" t="s">
        <v>34</v>
      </c>
      <c r="F197" s="11" t="s">
        <v>12</v>
      </c>
      <c r="G197" s="10" t="s">
        <v>34</v>
      </c>
      <c r="H197" s="12" t="s">
        <v>35</v>
      </c>
      <c r="I197" s="5" t="s">
        <v>41</v>
      </c>
      <c r="J197" s="5" t="s">
        <v>42</v>
      </c>
      <c r="K197" s="5" t="s">
        <v>43</v>
      </c>
      <c r="L197" s="13"/>
      <c r="M197" s="15" t="s">
        <v>12</v>
      </c>
      <c r="N197" s="15">
        <f>(E198 * IFERROR(VLOOKUP(F198,DinnerTable[],2,FALSE),0)) + (E199 * IFERROR(VLOOKUP(F199,DinnerTable[],2,FALSE),0)) + (E200 * IFERROR(VLOOKUP(F200,DinnerTable[],2,FALSE),0)) + (E201 * IFERROR(VLOOKUP(F201,DinnerTable[],2,FALSE),0))</f>
        <v>32.510000000000005</v>
      </c>
      <c r="O197" s="15">
        <f>(E198 * IFERROR(VLOOKUP(F198,DinnerTable[],3,FALSE),0)) + (E199 * IFERROR(VLOOKUP(F199,DinnerTable[],3,FALSE),0)) + (E200 * IFERROR(VLOOKUP(F200,DinnerTable[],3,FALSE),0)) + (E201 * IFERROR(VLOOKUP(F201,DinnerTable[],3,FALSE),0))</f>
        <v>24.506</v>
      </c>
      <c r="P197" s="15">
        <f>(E198 * IFERROR(VLOOKUP(F198,DinnerTable[],4,FALSE),0)) + (E199 * IFERROR(VLOOKUP(F199,DinnerTable[],4,FALSE),0)) + (E200 * IFERROR(VLOOKUP(F200,DinnerTable[],4,FALSE),0)) + (E201 * IFERROR(VLOOKUP(F201,DinnerTable[],4,FALSE),0))</f>
        <v>48.708000000000006</v>
      </c>
    </row>
    <row r="198" spans="1:16" ht="15.75" thickTop="1" x14ac:dyDescent="0.25">
      <c r="A198" s="17">
        <v>1</v>
      </c>
      <c r="B198" s="17" t="s">
        <v>97</v>
      </c>
      <c r="C198" s="17">
        <v>3</v>
      </c>
      <c r="D198" s="17" t="s">
        <v>22</v>
      </c>
      <c r="E198" s="17">
        <v>0.33</v>
      </c>
      <c r="F198" s="17" t="s">
        <v>45</v>
      </c>
      <c r="G198" s="17"/>
      <c r="H198" s="17"/>
      <c r="I198" s="2"/>
      <c r="J198" s="2"/>
      <c r="K198" s="2"/>
      <c r="L198" s="13"/>
      <c r="M198" s="15" t="s">
        <v>35</v>
      </c>
      <c r="N198" s="15">
        <f>(G198 * IFERROR(VLOOKUP(H198,PostWorkoutTable[],2,FALSE),0)) + (G199 * IFERROR(VLOOKUP(H199,PostWorkoutTable[],2,FALSE),0)) + (G200 * IFERROR(VLOOKUP(H200,PostWorkoutTable[],2,FALSE),0)) + (G201 * IFERROR(VLOOKUP(H201,PostWorkoutTable[],2,FALSE),0))</f>
        <v>0</v>
      </c>
      <c r="O198" s="15">
        <f>(G198 * IFERROR(VLOOKUP(H198,PostWorkoutTable[],3,FALSE),0)) + (G199 * IFERROR(VLOOKUP(H199,PostWorkoutTable[],3,FALSE),0)) + (G200 * IFERROR(VLOOKUP(H200,PostWorkoutTable[],3,FALSE),0)) + (G201 * IFERROR(VLOOKUP(H201,PostWorkoutTable[],3,FALSE),0))</f>
        <v>0</v>
      </c>
      <c r="P198" s="15">
        <f>(G198 * IFERROR(VLOOKUP(H198,PostWorkoutTable[],4,FALSE),0)) + (G199 * IFERROR(VLOOKUP(H199,PostWorkoutTable[],4,FALSE),0)) + (G200 * IFERROR(VLOOKUP(H200,PostWorkoutTable[],4,FALSE),0)) + (G201 * IFERROR(VLOOKUP(H201,PostWorkoutTable[],4,FALSE),0))</f>
        <v>0</v>
      </c>
    </row>
    <row r="199" spans="1:16" x14ac:dyDescent="0.25">
      <c r="A199" s="17"/>
      <c r="B199" s="17"/>
      <c r="C199" s="17">
        <v>0.33</v>
      </c>
      <c r="D199" s="17" t="s">
        <v>60</v>
      </c>
      <c r="E199" s="17">
        <v>0.33</v>
      </c>
      <c r="F199" s="17" t="s">
        <v>79</v>
      </c>
      <c r="G199" s="17"/>
      <c r="H199" s="17"/>
      <c r="I199" s="2"/>
      <c r="J199" s="2"/>
      <c r="K199" s="2"/>
      <c r="L199" s="13"/>
      <c r="M199" s="15" t="s">
        <v>21</v>
      </c>
      <c r="N199" s="15">
        <f xml:space="preserve"> SUM(I198:I201)</f>
        <v>0</v>
      </c>
      <c r="O199" s="15">
        <f>SUM(J198:J201)</f>
        <v>0</v>
      </c>
      <c r="P199" s="15">
        <f>SUM(K198:K201)</f>
        <v>0</v>
      </c>
    </row>
    <row r="200" spans="1:16" x14ac:dyDescent="0.25">
      <c r="A200" s="17"/>
      <c r="B200" s="17"/>
      <c r="C200" s="17"/>
      <c r="D200" s="17"/>
      <c r="E200" s="17">
        <v>0.33</v>
      </c>
      <c r="F200" s="17" t="s">
        <v>92</v>
      </c>
      <c r="G200" s="17"/>
      <c r="H200" s="17"/>
      <c r="I200" s="2"/>
      <c r="J200" s="2"/>
      <c r="K200" s="2"/>
      <c r="L200" s="13"/>
      <c r="M200" s="15" t="s">
        <v>38</v>
      </c>
      <c r="N200" s="15">
        <f>SUM(N195:N199)</f>
        <v>148.33500000000001</v>
      </c>
      <c r="O200" s="15">
        <f>SUM(O195:O199)</f>
        <v>69.131</v>
      </c>
      <c r="P200" s="15">
        <f>SUM(P195:P199)</f>
        <v>158.108</v>
      </c>
    </row>
    <row r="201" spans="1:16" x14ac:dyDescent="0.25">
      <c r="A201" s="17"/>
      <c r="B201" s="17"/>
      <c r="C201" s="17"/>
      <c r="D201" s="17"/>
      <c r="E201" s="17">
        <v>0.5</v>
      </c>
      <c r="F201" s="17" t="s">
        <v>91</v>
      </c>
      <c r="G201" s="17"/>
      <c r="H201" s="17"/>
      <c r="I201" s="2"/>
      <c r="J201" s="2"/>
      <c r="K201" s="2"/>
      <c r="L201" s="13"/>
      <c r="M201" s="13"/>
      <c r="N201" s="13"/>
      <c r="O201" s="13"/>
      <c r="P201" s="13"/>
    </row>
    <row r="202" spans="1:16" x14ac:dyDescent="0.25">
      <c r="A202" s="13"/>
      <c r="B202" s="13"/>
      <c r="C202" s="13"/>
      <c r="D202" s="13"/>
      <c r="E202" s="13"/>
      <c r="F202" s="13"/>
      <c r="G202" s="13"/>
      <c r="H202" s="13"/>
      <c r="I202" s="13"/>
      <c r="J202" s="13"/>
      <c r="K202" s="13"/>
      <c r="L202" s="13"/>
      <c r="M202" s="13"/>
      <c r="N202" s="13"/>
      <c r="O202" s="13"/>
      <c r="P202" s="13"/>
    </row>
    <row r="203" spans="1:16" ht="23.25" x14ac:dyDescent="0.35">
      <c r="A203" s="21">
        <v>43517</v>
      </c>
      <c r="B203" s="13"/>
      <c r="C203" s="13"/>
      <c r="D203" s="13"/>
      <c r="E203" s="13"/>
      <c r="F203" s="13"/>
      <c r="G203" s="13"/>
      <c r="H203" s="13"/>
      <c r="I203" s="13"/>
      <c r="J203" s="13"/>
      <c r="K203" s="13"/>
      <c r="L203" s="13"/>
      <c r="M203" s="13"/>
      <c r="N203" s="13"/>
      <c r="O203" s="13"/>
      <c r="P203" s="13"/>
    </row>
    <row r="204" spans="1:16" ht="18" thickBot="1" x14ac:dyDescent="0.35">
      <c r="A204" s="3" t="s">
        <v>48</v>
      </c>
      <c r="B204" s="3" t="s">
        <v>0</v>
      </c>
      <c r="C204" s="3" t="s">
        <v>36</v>
      </c>
      <c r="D204" s="3" t="s">
        <v>8</v>
      </c>
      <c r="E204" s="5" t="s">
        <v>9</v>
      </c>
      <c r="F204" s="5" t="s">
        <v>10</v>
      </c>
      <c r="G204" s="14"/>
      <c r="H204" s="19"/>
      <c r="I204" s="13"/>
      <c r="J204" s="13"/>
      <c r="K204" s="13"/>
      <c r="L204" s="13"/>
      <c r="M204" s="14"/>
      <c r="N204" s="15" t="s">
        <v>8</v>
      </c>
      <c r="O204" s="15" t="s">
        <v>9</v>
      </c>
      <c r="P204" s="15" t="s">
        <v>10</v>
      </c>
    </row>
    <row r="205" spans="1:16" ht="15.75" thickTop="1" x14ac:dyDescent="0.25">
      <c r="A205" s="18">
        <v>43514</v>
      </c>
      <c r="B205" s="16">
        <f>IFERROR(VLOOKUP(A205,OverviewTable[],2,FALSE),"?")</f>
        <v>127.4</v>
      </c>
      <c r="C205" s="16" t="str">
        <f>((N210 * 4) + (O210 * 9) + (P210 * 4))&amp;"/"&amp;IFERROR(VLOOKUP(A205,OverviewTable[],11,FALSE),"?")</f>
        <v>2034.861/2288.4</v>
      </c>
      <c r="D205" s="16" t="str">
        <f>N210&amp;"/"&amp;IFERROR(VLOOKUP(A205,OverviewTable[],12,FALSE),"?")</f>
        <v>154.175/127</v>
      </c>
      <c r="E205" s="16" t="str">
        <f>O210&amp;"/"&amp;IFERROR(VLOOKUP(A205,OverviewTable[],13,FALSE),"?")</f>
        <v>68.681/64</v>
      </c>
      <c r="F205" s="16" t="str">
        <f>P210&amp;"/"&amp;IFERROR(VLOOKUP(A205,OverviewTable[],14,FALSE),"?")</f>
        <v>200.008/301</v>
      </c>
      <c r="G205" s="19"/>
      <c r="H205" s="19"/>
      <c r="I205" s="13"/>
      <c r="J205" s="13"/>
      <c r="K205" s="13"/>
      <c r="L205" s="13"/>
      <c r="M205" s="15" t="s">
        <v>6</v>
      </c>
      <c r="N205" s="15">
        <f>(A208 * IFERROR(VLOOKUP(B208,BreakfastTable[],2,FALSE),0)) + (A209 * IFERROR(VLOOKUP(B209,BreakfastTable[],2,FALSE),0)) + (A210 * IFERROR(VLOOKUP(B210,BreakfastTable[],2,FALSE),0)) + (A211 * IFERROR(VLOOKUP(B211,BreakfastTable[],2,FALSE),0))</f>
        <v>11.5</v>
      </c>
      <c r="O205" s="15">
        <f>(A208 * IFERROR(VLOOKUP(B208,BreakfastTable[],3,FALSE),0)) + (A209 * IFERROR(VLOOKUP(B209,BreakfastTable[],3,FALSE),0)) + (A210 * IFERROR(VLOOKUP(B210,BreakfastTable[],3,FALSE),0)) + (A211 * IFERROR(VLOOKUP(B211,BreakfastTable[],3,FALSE),0))</f>
        <v>3.25</v>
      </c>
      <c r="P205" s="15">
        <f>(A208 * IFERROR(VLOOKUP(B208,BreakfastTable[],4,FALSE),0)) + (A209 * IFERROR(VLOOKUP(B209,BreakfastTable[],4,FALSE),0)) + (A210 * IFERROR(VLOOKUP(B210,BreakfastTable[],4,FALSE),0)) + (A211 * IFERROR(VLOOKUP(B211,BreakfastTable[],4,FALSE),0))</f>
        <v>25.5</v>
      </c>
    </row>
    <row r="206" spans="1:16" x14ac:dyDescent="0.25">
      <c r="A206" s="17"/>
      <c r="B206" s="17"/>
      <c r="C206" s="17"/>
      <c r="D206" s="17"/>
      <c r="E206" s="17"/>
      <c r="F206" s="17"/>
      <c r="G206" s="19"/>
      <c r="H206" s="19"/>
      <c r="I206" s="13"/>
      <c r="J206" s="13"/>
      <c r="K206" s="13"/>
      <c r="L206" s="13"/>
      <c r="M206" s="15" t="s">
        <v>11</v>
      </c>
      <c r="N206" s="15">
        <f>(C208 * IFERROR(VLOOKUP(D208,LunchTable[],2,FALSE),0)) + (C209 * IFERROR(VLOOKUP(D209,LunchTable[],2,FALSE),0)) + (C210 * IFERROR(VLOOKUP(D210,LunchTable[],2,FALSE),0)) + (C211 * IFERROR(VLOOKUP(D211,LunchTable[],2,FALSE),0))</f>
        <v>88.125</v>
      </c>
      <c r="O206" s="15">
        <f>(C208 * IFERROR(VLOOKUP(D208,LunchTable[],3,FALSE),0)) + (C209 * IFERROR(VLOOKUP(D209,LunchTable[],3,FALSE),0)) + (C210 * IFERROR(VLOOKUP(D210,LunchTable[],3,FALSE),0)) + (C211 * IFERROR(VLOOKUP(D211,LunchTable[],3,FALSE),0))</f>
        <v>31.925000000000001</v>
      </c>
      <c r="P206" s="15">
        <f>(C208 * IFERROR(VLOOKUP(D208,LunchTable[],4,FALSE),0)) + (C209 * IFERROR(VLOOKUP(D209,LunchTable[],4,FALSE),0)) + (C210 * IFERROR(VLOOKUP(D210,LunchTable[],4,FALSE),0)) + (C211 * IFERROR(VLOOKUP(D211,LunchTable[],4,FALSE),0))</f>
        <v>72</v>
      </c>
    </row>
    <row r="207" spans="1:16" ht="18" thickBot="1" x14ac:dyDescent="0.35">
      <c r="A207" s="10" t="s">
        <v>34</v>
      </c>
      <c r="B207" s="11" t="s">
        <v>6</v>
      </c>
      <c r="C207" s="10" t="s">
        <v>34</v>
      </c>
      <c r="D207" s="11" t="s">
        <v>11</v>
      </c>
      <c r="E207" s="10" t="s">
        <v>34</v>
      </c>
      <c r="F207" s="11" t="s">
        <v>12</v>
      </c>
      <c r="G207" s="10" t="s">
        <v>34</v>
      </c>
      <c r="H207" s="12" t="s">
        <v>35</v>
      </c>
      <c r="I207" s="5" t="s">
        <v>41</v>
      </c>
      <c r="J207" s="5" t="s">
        <v>42</v>
      </c>
      <c r="K207" s="5" t="s">
        <v>43</v>
      </c>
      <c r="L207" s="13"/>
      <c r="M207" s="15" t="s">
        <v>12</v>
      </c>
      <c r="N207" s="15">
        <f>(E208 * IFERROR(VLOOKUP(F208,DinnerTable[],2,FALSE),0)) + (E209 * IFERROR(VLOOKUP(F209,DinnerTable[],2,FALSE),0)) + (E210 * IFERROR(VLOOKUP(F210,DinnerTable[],2,FALSE),0)) + (E211 * IFERROR(VLOOKUP(F211,DinnerTable[],2,FALSE),0))</f>
        <v>34.549999999999997</v>
      </c>
      <c r="O207" s="15">
        <f>(E208 * IFERROR(VLOOKUP(F208,DinnerTable[],3,FALSE),0)) + (E209 * IFERROR(VLOOKUP(F209,DinnerTable[],3,FALSE),0)) + (E210 * IFERROR(VLOOKUP(F210,DinnerTable[],3,FALSE),0)) + (E211 * IFERROR(VLOOKUP(F211,DinnerTable[],3,FALSE),0))</f>
        <v>24.506</v>
      </c>
      <c r="P207" s="15">
        <f>(E208 * IFERROR(VLOOKUP(F208,DinnerTable[],4,FALSE),0)) + (E209 * IFERROR(VLOOKUP(F209,DinnerTable[],4,FALSE),0)) + (E210 * IFERROR(VLOOKUP(F210,DinnerTable[],4,FALSE),0)) + (E211 * IFERROR(VLOOKUP(F211,DinnerTable[],4,FALSE),0))</f>
        <v>72.507999999999996</v>
      </c>
    </row>
    <row r="208" spans="1:16" ht="15.75" thickTop="1" x14ac:dyDescent="0.25">
      <c r="A208" s="17">
        <v>1</v>
      </c>
      <c r="B208" s="17" t="s">
        <v>101</v>
      </c>
      <c r="C208" s="17">
        <v>4</v>
      </c>
      <c r="D208" s="17" t="s">
        <v>22</v>
      </c>
      <c r="E208" s="17">
        <v>0.5</v>
      </c>
      <c r="F208" s="17" t="s">
        <v>99</v>
      </c>
      <c r="G208" s="17">
        <v>1</v>
      </c>
      <c r="H208" s="17" t="s">
        <v>26</v>
      </c>
      <c r="I208" s="2"/>
      <c r="J208" s="2"/>
      <c r="K208" s="2"/>
      <c r="L208" s="13"/>
      <c r="M208" s="15" t="s">
        <v>35</v>
      </c>
      <c r="N208" s="15">
        <f>(G208 * IFERROR(VLOOKUP(H208,PostWorkoutTable[],2,FALSE),0)) + (G209 * IFERROR(VLOOKUP(H209,PostWorkoutTable[],2,FALSE),0)) + (G210 * IFERROR(VLOOKUP(H210,PostWorkoutTable[],2,FALSE),0)) + (G211 * IFERROR(VLOOKUP(H211,PostWorkoutTable[],2,FALSE),0))</f>
        <v>20</v>
      </c>
      <c r="O208" s="15">
        <f>(G208 * IFERROR(VLOOKUP(H208,PostWorkoutTable[],3,FALSE),0)) + (G209 * IFERROR(VLOOKUP(H209,PostWorkoutTable[],3,FALSE),0)) + (G210 * IFERROR(VLOOKUP(H210,PostWorkoutTable[],3,FALSE),0)) + (G211 * IFERROR(VLOOKUP(H211,PostWorkoutTable[],3,FALSE),0))</f>
        <v>9</v>
      </c>
      <c r="P208" s="15">
        <f>(G208 * IFERROR(VLOOKUP(H208,PostWorkoutTable[],4,FALSE),0)) + (G209 * IFERROR(VLOOKUP(H209,PostWorkoutTable[],4,FALSE),0)) + (G210 * IFERROR(VLOOKUP(H210,PostWorkoutTable[],4,FALSE),0)) + (G211 * IFERROR(VLOOKUP(H211,PostWorkoutTable[],4,FALSE),0))</f>
        <v>30</v>
      </c>
    </row>
    <row r="209" spans="1:16" x14ac:dyDescent="0.25">
      <c r="A209" s="17">
        <v>1</v>
      </c>
      <c r="B209" s="17" t="s">
        <v>102</v>
      </c>
      <c r="C209" s="17">
        <v>0.33</v>
      </c>
      <c r="D209" s="17" t="s">
        <v>60</v>
      </c>
      <c r="E209" s="17">
        <v>0.33</v>
      </c>
      <c r="F209" s="17" t="s">
        <v>45</v>
      </c>
      <c r="G209" s="17"/>
      <c r="H209" s="17"/>
      <c r="I209" s="2"/>
      <c r="J209" s="2"/>
      <c r="K209" s="2"/>
      <c r="L209" s="13"/>
      <c r="M209" s="15" t="s">
        <v>21</v>
      </c>
      <c r="N209" s="15">
        <f xml:space="preserve"> SUM(I208:I211)</f>
        <v>0</v>
      </c>
      <c r="O209" s="15">
        <f>SUM(J208:J211)</f>
        <v>0</v>
      </c>
      <c r="P209" s="15">
        <f>SUM(K208:K211)</f>
        <v>0</v>
      </c>
    </row>
    <row r="210" spans="1:16" x14ac:dyDescent="0.25">
      <c r="A210" s="17"/>
      <c r="B210" s="17"/>
      <c r="C210" s="17"/>
      <c r="D210" s="17"/>
      <c r="E210" s="17">
        <v>0.33</v>
      </c>
      <c r="F210" s="17" t="s">
        <v>92</v>
      </c>
      <c r="G210" s="17"/>
      <c r="H210" s="17"/>
      <c r="I210" s="2"/>
      <c r="J210" s="2"/>
      <c r="K210" s="2"/>
      <c r="L210" s="13"/>
      <c r="M210" s="15" t="s">
        <v>38</v>
      </c>
      <c r="N210" s="15">
        <f>SUM(N205:N209)</f>
        <v>154.17500000000001</v>
      </c>
      <c r="O210" s="15">
        <f>SUM(O205:O209)</f>
        <v>68.680999999999997</v>
      </c>
      <c r="P210" s="15">
        <f>SUM(P205:P209)</f>
        <v>200.00799999999998</v>
      </c>
    </row>
    <row r="211" spans="1:16" x14ac:dyDescent="0.25">
      <c r="A211" s="17"/>
      <c r="B211" s="17"/>
      <c r="C211" s="17"/>
      <c r="D211" s="17"/>
      <c r="E211" s="17">
        <v>0.5</v>
      </c>
      <c r="F211" s="17" t="s">
        <v>91</v>
      </c>
      <c r="G211" s="17"/>
      <c r="H211" s="17"/>
      <c r="I211" s="2"/>
      <c r="J211" s="2"/>
      <c r="K211" s="2"/>
      <c r="L211" s="13"/>
      <c r="M211" s="13"/>
      <c r="N211" s="13"/>
      <c r="O211" s="13"/>
      <c r="P211" s="13"/>
    </row>
    <row r="212" spans="1:16" x14ac:dyDescent="0.25">
      <c r="A212" s="13"/>
      <c r="B212" s="13"/>
      <c r="C212" s="13"/>
      <c r="D212" s="13"/>
      <c r="E212" s="13"/>
      <c r="F212" s="13"/>
      <c r="G212" s="13"/>
      <c r="H212" s="13"/>
      <c r="I212" s="13"/>
      <c r="J212" s="13"/>
      <c r="K212" s="13"/>
      <c r="L212" s="13"/>
      <c r="M212" s="13"/>
      <c r="N212" s="13"/>
      <c r="O212" s="13"/>
      <c r="P212" s="13"/>
    </row>
    <row r="213" spans="1:16" ht="23.25" x14ac:dyDescent="0.35">
      <c r="A213" s="21">
        <v>43518</v>
      </c>
      <c r="B213" s="13"/>
      <c r="C213" s="13"/>
      <c r="D213" s="13"/>
      <c r="E213" s="13"/>
      <c r="F213" s="13"/>
      <c r="G213" s="13"/>
      <c r="H213" s="13"/>
      <c r="I213" s="13"/>
      <c r="J213" s="13"/>
      <c r="K213" s="13"/>
      <c r="L213" s="13"/>
      <c r="M213" s="13"/>
      <c r="N213" s="13"/>
      <c r="O213" s="13"/>
      <c r="P213" s="13"/>
    </row>
    <row r="214" spans="1:16" ht="18" thickBot="1" x14ac:dyDescent="0.35">
      <c r="A214" s="3" t="s">
        <v>48</v>
      </c>
      <c r="B214" s="3" t="s">
        <v>0</v>
      </c>
      <c r="C214" s="3" t="s">
        <v>36</v>
      </c>
      <c r="D214" s="3" t="s">
        <v>8</v>
      </c>
      <c r="E214" s="5" t="s">
        <v>9</v>
      </c>
      <c r="F214" s="5" t="s">
        <v>10</v>
      </c>
      <c r="G214" s="14"/>
      <c r="H214" s="19"/>
      <c r="I214" s="13"/>
      <c r="J214" s="13"/>
      <c r="K214" s="13"/>
      <c r="L214" s="13"/>
      <c r="M214" s="14"/>
      <c r="N214" s="15" t="s">
        <v>8</v>
      </c>
      <c r="O214" s="15" t="s">
        <v>9</v>
      </c>
      <c r="P214" s="15" t="s">
        <v>10</v>
      </c>
    </row>
    <row r="215" spans="1:16" ht="15.75" thickTop="1" x14ac:dyDescent="0.25">
      <c r="A215" s="18">
        <v>43514</v>
      </c>
      <c r="B215" s="16">
        <f>IFERROR(VLOOKUP(A215,OverviewTable[],2,FALSE),"?")</f>
        <v>127.4</v>
      </c>
      <c r="C215" s="16" t="str">
        <f>((N220 * 4) + (O220 * 9) + (P220 * 4))&amp;"/"&amp;IFERROR(VLOOKUP(A215,OverviewTable[],11,FALSE),"?")</f>
        <v>2242.7/2288.4</v>
      </c>
      <c r="D215" s="16" t="str">
        <f>N220&amp;"/"&amp;IFERROR(VLOOKUP(A215,OverviewTable[],12,FALSE),"?")</f>
        <v>149.2/127</v>
      </c>
      <c r="E215" s="16" t="str">
        <f>O220&amp;"/"&amp;IFERROR(VLOOKUP(A215,OverviewTable[],13,FALSE),"?")</f>
        <v>106.7/64</v>
      </c>
      <c r="F215" s="16" t="str">
        <f>P220&amp;"/"&amp;IFERROR(VLOOKUP(A215,OverviewTable[],14,FALSE),"?")</f>
        <v>171.4/301</v>
      </c>
      <c r="G215" s="19"/>
      <c r="H215" s="19"/>
      <c r="I215" s="13"/>
      <c r="J215" s="13"/>
      <c r="K215" s="13"/>
      <c r="L215" s="13"/>
      <c r="M215" s="15" t="s">
        <v>6</v>
      </c>
      <c r="N215" s="15">
        <f>(A218 * IFERROR(VLOOKUP(B218,BreakfastTable[],2,FALSE),0)) + (A219 * IFERROR(VLOOKUP(B219,BreakfastTable[],2,FALSE),0)) + (A220 * IFERROR(VLOOKUP(B220,BreakfastTable[],2,FALSE),0)) + (A221 * IFERROR(VLOOKUP(B221,BreakfastTable[],2,FALSE),0))</f>
        <v>32.200000000000003</v>
      </c>
      <c r="O215" s="15">
        <f>(A218 * IFERROR(VLOOKUP(B218,BreakfastTable[],3,FALSE),0)) + (A219 * IFERROR(VLOOKUP(B219,BreakfastTable[],3,FALSE),0)) + (A220 * IFERROR(VLOOKUP(B220,BreakfastTable[],3,FALSE),0)) + (A221 * IFERROR(VLOOKUP(B221,BreakfastTable[],3,FALSE),0))</f>
        <v>14.7</v>
      </c>
      <c r="P215" s="15">
        <f>(A218 * IFERROR(VLOOKUP(B218,BreakfastTable[],4,FALSE),0)) + (A219 * IFERROR(VLOOKUP(B219,BreakfastTable[],4,FALSE),0)) + (A220 * IFERROR(VLOOKUP(B220,BreakfastTable[],4,FALSE),0)) + (A221 * IFERROR(VLOOKUP(B221,BreakfastTable[],4,FALSE),0))</f>
        <v>55.4</v>
      </c>
    </row>
    <row r="216" spans="1:16" x14ac:dyDescent="0.25">
      <c r="A216" s="17"/>
      <c r="B216" s="17"/>
      <c r="C216" s="17"/>
      <c r="D216" s="17"/>
      <c r="E216" s="17"/>
      <c r="F216" s="17"/>
      <c r="G216" s="19"/>
      <c r="H216" s="19"/>
      <c r="I216" s="13"/>
      <c r="J216" s="13"/>
      <c r="K216" s="13"/>
      <c r="L216" s="13"/>
      <c r="M216" s="15" t="s">
        <v>11</v>
      </c>
      <c r="N216" s="15">
        <f>(C218 * IFERROR(VLOOKUP(D218,LunchTable[],2,FALSE),0)) + (C219 * IFERROR(VLOOKUP(D219,LunchTable[],2,FALSE),0)) + (C220 * IFERROR(VLOOKUP(D220,LunchTable[],2,FALSE),0)) + (C221 * IFERROR(VLOOKUP(D221,LunchTable[],2,FALSE),0))</f>
        <v>0</v>
      </c>
      <c r="O216" s="15">
        <f>(C218 * IFERROR(VLOOKUP(D218,LunchTable[],3,FALSE),0)) + (C219 * IFERROR(VLOOKUP(D219,LunchTable[],3,FALSE),0)) + (C220 * IFERROR(VLOOKUP(D220,LunchTable[],3,FALSE),0)) + (C221 * IFERROR(VLOOKUP(D221,LunchTable[],3,FALSE),0))</f>
        <v>0</v>
      </c>
      <c r="P216" s="15">
        <f>(C218 * IFERROR(VLOOKUP(D218,LunchTable[],4,FALSE),0)) + (C219 * IFERROR(VLOOKUP(D219,LunchTable[],4,FALSE),0)) + (C220 * IFERROR(VLOOKUP(D220,LunchTable[],4,FALSE),0)) + (C221 * IFERROR(VLOOKUP(D221,LunchTable[],4,FALSE),0))</f>
        <v>0</v>
      </c>
    </row>
    <row r="217" spans="1:16" ht="18" thickBot="1" x14ac:dyDescent="0.35">
      <c r="A217" s="10" t="s">
        <v>34</v>
      </c>
      <c r="B217" s="11" t="s">
        <v>6</v>
      </c>
      <c r="C217" s="10" t="s">
        <v>34</v>
      </c>
      <c r="D217" s="11" t="s">
        <v>11</v>
      </c>
      <c r="E217" s="10" t="s">
        <v>34</v>
      </c>
      <c r="F217" s="11" t="s">
        <v>12</v>
      </c>
      <c r="G217" s="10" t="s">
        <v>34</v>
      </c>
      <c r="H217" s="12" t="s">
        <v>35</v>
      </c>
      <c r="I217" s="5" t="s">
        <v>41</v>
      </c>
      <c r="J217" s="5" t="s">
        <v>42</v>
      </c>
      <c r="K217" s="5" t="s">
        <v>43</v>
      </c>
      <c r="L217" s="13"/>
      <c r="M217" s="15" t="s">
        <v>12</v>
      </c>
      <c r="N217" s="15">
        <f>(E218 * IFERROR(VLOOKUP(F218,DinnerTable[],2,FALSE),0)) + (E219 * IFERROR(VLOOKUP(F219,DinnerTable[],2,FALSE),0)) + (E220 * IFERROR(VLOOKUP(F220,DinnerTable[],2,FALSE),0)) + (E221 * IFERROR(VLOOKUP(F221,DinnerTable[],2,FALSE),0))</f>
        <v>0</v>
      </c>
      <c r="O217" s="15">
        <f>(E218 * IFERROR(VLOOKUP(F218,DinnerTable[],3,FALSE),0)) + (E219 * IFERROR(VLOOKUP(F219,DinnerTable[],3,FALSE),0)) + (E220 * IFERROR(VLOOKUP(F220,DinnerTable[],3,FALSE),0)) + (E221 * IFERROR(VLOOKUP(F221,DinnerTable[],3,FALSE),0))</f>
        <v>0</v>
      </c>
      <c r="P217" s="15">
        <f>(E218 * IFERROR(VLOOKUP(F218,DinnerTable[],4,FALSE),0)) + (E219 * IFERROR(VLOOKUP(F219,DinnerTable[],4,FALSE),0)) + (E220 * IFERROR(VLOOKUP(F220,DinnerTable[],4,FALSE),0)) + (E221 * IFERROR(VLOOKUP(F221,DinnerTable[],4,FALSE),0))</f>
        <v>0</v>
      </c>
    </row>
    <row r="218" spans="1:16" ht="15.75" thickTop="1" x14ac:dyDescent="0.25">
      <c r="A218" s="17">
        <v>1</v>
      </c>
      <c r="B218" s="17" t="s">
        <v>97</v>
      </c>
      <c r="C218" s="17"/>
      <c r="D218" s="17"/>
      <c r="E218" s="17"/>
      <c r="F218" s="17"/>
      <c r="G218" s="17"/>
      <c r="H218" s="17"/>
      <c r="I218" s="2">
        <v>47</v>
      </c>
      <c r="J218" s="2">
        <v>55</v>
      </c>
      <c r="K218" s="2">
        <v>40</v>
      </c>
      <c r="L218" s="13"/>
      <c r="M218" s="15" t="s">
        <v>35</v>
      </c>
      <c r="N218" s="15">
        <f>(G218 * IFERROR(VLOOKUP(H218,PostWorkoutTable[],2,FALSE),0)) + (G219 * IFERROR(VLOOKUP(H219,PostWorkoutTable[],2,FALSE),0)) + (G220 * IFERROR(VLOOKUP(H220,PostWorkoutTable[],2,FALSE),0)) + (G221 * IFERROR(VLOOKUP(H221,PostWorkoutTable[],2,FALSE),0))</f>
        <v>0</v>
      </c>
      <c r="O218" s="15">
        <f>(G218 * IFERROR(VLOOKUP(H218,PostWorkoutTable[],3,FALSE),0)) + (G219 * IFERROR(VLOOKUP(H219,PostWorkoutTable[],3,FALSE),0)) + (G220 * IFERROR(VLOOKUP(H220,PostWorkoutTable[],3,FALSE),0)) + (G221 * IFERROR(VLOOKUP(H221,PostWorkoutTable[],3,FALSE),0))</f>
        <v>0</v>
      </c>
      <c r="P218" s="15">
        <f>(G218 * IFERROR(VLOOKUP(H218,PostWorkoutTable[],4,FALSE),0)) + (G219 * IFERROR(VLOOKUP(H219,PostWorkoutTable[],4,FALSE),0)) + (G220 * IFERROR(VLOOKUP(H220,PostWorkoutTable[],4,FALSE),0)) + (G221 * IFERROR(VLOOKUP(H221,PostWorkoutTable[],4,FALSE),0))</f>
        <v>0</v>
      </c>
    </row>
    <row r="219" spans="1:16" x14ac:dyDescent="0.25">
      <c r="A219" s="17"/>
      <c r="B219" s="17"/>
      <c r="C219" s="17"/>
      <c r="D219" s="17"/>
      <c r="E219" s="17"/>
      <c r="F219" s="17"/>
      <c r="G219" s="17"/>
      <c r="H219" s="17"/>
      <c r="I219" s="2">
        <v>52</v>
      </c>
      <c r="J219" s="2">
        <v>15</v>
      </c>
      <c r="K219" s="2">
        <v>4</v>
      </c>
      <c r="L219" s="13"/>
      <c r="M219" s="15" t="s">
        <v>21</v>
      </c>
      <c r="N219" s="15">
        <f xml:space="preserve"> SUM(I218:I221)</f>
        <v>117</v>
      </c>
      <c r="O219" s="15">
        <f>SUM(J218:J221)</f>
        <v>92</v>
      </c>
      <c r="P219" s="15">
        <f>SUM(K218:K221)</f>
        <v>116</v>
      </c>
    </row>
    <row r="220" spans="1:16" x14ac:dyDescent="0.25">
      <c r="A220" s="17"/>
      <c r="B220" s="17"/>
      <c r="C220" s="17"/>
      <c r="D220" s="17"/>
      <c r="E220" s="17"/>
      <c r="F220" s="17"/>
      <c r="G220" s="17"/>
      <c r="H220" s="17"/>
      <c r="I220" s="2">
        <v>6</v>
      </c>
      <c r="J220" s="2">
        <v>10</v>
      </c>
      <c r="K220" s="2">
        <v>14</v>
      </c>
      <c r="L220" s="13"/>
      <c r="M220" s="15" t="s">
        <v>38</v>
      </c>
      <c r="N220" s="15">
        <f>SUM(N215:N219)</f>
        <v>149.19999999999999</v>
      </c>
      <c r="O220" s="15">
        <f>SUM(O215:O219)</f>
        <v>106.7</v>
      </c>
      <c r="P220" s="15">
        <f>SUM(P215:P219)</f>
        <v>171.4</v>
      </c>
    </row>
    <row r="221" spans="1:16" x14ac:dyDescent="0.25">
      <c r="A221" s="17"/>
      <c r="B221" s="17"/>
      <c r="C221" s="17"/>
      <c r="D221" s="17"/>
      <c r="E221" s="17"/>
      <c r="F221" s="17"/>
      <c r="G221" s="17"/>
      <c r="H221" s="17"/>
      <c r="I221" s="2">
        <v>12</v>
      </c>
      <c r="J221" s="2">
        <v>12</v>
      </c>
      <c r="K221" s="2">
        <v>58</v>
      </c>
      <c r="L221" s="13"/>
      <c r="M221" s="13"/>
      <c r="N221" s="13"/>
      <c r="O221" s="13"/>
      <c r="P221" s="13"/>
    </row>
    <row r="222" spans="1:16" x14ac:dyDescent="0.25">
      <c r="A222" s="13"/>
      <c r="B222" s="13"/>
      <c r="C222" s="13"/>
      <c r="D222" s="13"/>
      <c r="E222" s="13"/>
      <c r="F222" s="13"/>
      <c r="G222" s="13"/>
      <c r="H222" s="13"/>
      <c r="I222" s="13"/>
      <c r="J222" s="13"/>
      <c r="K222" s="13"/>
      <c r="L222" s="13"/>
      <c r="M222" s="13"/>
      <c r="N222" s="13"/>
      <c r="O222" s="13"/>
      <c r="P222" s="13"/>
    </row>
    <row r="223" spans="1:16" ht="23.25" x14ac:dyDescent="0.35">
      <c r="A223" s="21">
        <v>43519</v>
      </c>
      <c r="B223" s="13"/>
      <c r="C223" s="13"/>
      <c r="D223" s="13"/>
      <c r="E223" s="13"/>
      <c r="F223" s="13"/>
      <c r="G223" s="13"/>
      <c r="H223" s="13"/>
      <c r="I223" s="13"/>
      <c r="J223" s="13"/>
      <c r="K223" s="13"/>
      <c r="L223" s="13"/>
      <c r="M223" s="13"/>
      <c r="N223" s="13"/>
      <c r="O223" s="13"/>
      <c r="P223" s="13"/>
    </row>
    <row r="224" spans="1:16" ht="18" thickBot="1" x14ac:dyDescent="0.35">
      <c r="A224" s="3" t="s">
        <v>48</v>
      </c>
      <c r="B224" s="3" t="s">
        <v>0</v>
      </c>
      <c r="C224" s="3" t="s">
        <v>36</v>
      </c>
      <c r="D224" s="3" t="s">
        <v>8</v>
      </c>
      <c r="E224" s="5" t="s">
        <v>9</v>
      </c>
      <c r="F224" s="5" t="s">
        <v>10</v>
      </c>
      <c r="G224" s="14"/>
      <c r="H224" s="19"/>
      <c r="I224" s="13"/>
      <c r="J224" s="13"/>
      <c r="K224" s="13"/>
      <c r="L224" s="13"/>
      <c r="M224" s="14"/>
      <c r="N224" s="15" t="s">
        <v>8</v>
      </c>
      <c r="O224" s="15" t="s">
        <v>9</v>
      </c>
      <c r="P224" s="15" t="s">
        <v>10</v>
      </c>
    </row>
    <row r="225" spans="1:16" ht="15.75" thickTop="1" x14ac:dyDescent="0.25">
      <c r="A225" s="18">
        <v>43514</v>
      </c>
      <c r="B225" s="16">
        <f>IFERROR(VLOOKUP(A225,OverviewTable[],2,FALSE),"?")</f>
        <v>127.4</v>
      </c>
      <c r="C225" s="16" t="str">
        <f>((N230 * 4) + (O230 * 9) + (P230 * 4))&amp;"/"&amp;IFERROR(VLOOKUP(A225,OverviewTable[],11,FALSE),"?")</f>
        <v>2228.7/2288.4</v>
      </c>
      <c r="D225" s="16" t="str">
        <f>N230&amp;"/"&amp;IFERROR(VLOOKUP(A225,OverviewTable[],12,FALSE),"?")</f>
        <v>145.2/127</v>
      </c>
      <c r="E225" s="16" t="str">
        <f>O230&amp;"/"&amp;IFERROR(VLOOKUP(A225,OverviewTable[],13,FALSE),"?")</f>
        <v>106.7/64</v>
      </c>
      <c r="F225" s="16" t="str">
        <f>P230&amp;"/"&amp;IFERROR(VLOOKUP(A225,OverviewTable[],14,FALSE),"?")</f>
        <v>171.9/301</v>
      </c>
      <c r="G225" s="19"/>
      <c r="H225" s="19"/>
      <c r="I225" s="13"/>
      <c r="J225" s="13"/>
      <c r="K225" s="13"/>
      <c r="L225" s="13"/>
      <c r="M225" s="15" t="s">
        <v>6</v>
      </c>
      <c r="N225" s="15">
        <f>(A228 * IFERROR(VLOOKUP(B228,BreakfastTable[],2,FALSE),0)) + (A229 * IFERROR(VLOOKUP(B229,BreakfastTable[],2,FALSE),0)) + (A230 * IFERROR(VLOOKUP(B230,BreakfastTable[],2,FALSE),0)) + (A231 * IFERROR(VLOOKUP(B231,BreakfastTable[],2,FALSE),0))</f>
        <v>0</v>
      </c>
      <c r="O225" s="15">
        <f>(A228 * IFERROR(VLOOKUP(B228,BreakfastTable[],3,FALSE),0)) + (A229 * IFERROR(VLOOKUP(B229,BreakfastTable[],3,FALSE),0)) + (A230 * IFERROR(VLOOKUP(B230,BreakfastTable[],3,FALSE),0)) + (A231 * IFERROR(VLOOKUP(B231,BreakfastTable[],3,FALSE),0))</f>
        <v>0</v>
      </c>
      <c r="P225" s="15">
        <f>(A228 * IFERROR(VLOOKUP(B228,BreakfastTable[],4,FALSE),0)) + (A229 * IFERROR(VLOOKUP(B229,BreakfastTable[],4,FALSE),0)) + (A230 * IFERROR(VLOOKUP(B230,BreakfastTable[],4,FALSE),0)) + (A231 * IFERROR(VLOOKUP(B231,BreakfastTable[],4,FALSE),0))</f>
        <v>0</v>
      </c>
    </row>
    <row r="226" spans="1:16" x14ac:dyDescent="0.25">
      <c r="A226" s="17"/>
      <c r="B226" s="17"/>
      <c r="C226" s="17"/>
      <c r="D226" s="17"/>
      <c r="E226" s="17"/>
      <c r="F226" s="17"/>
      <c r="G226" s="19"/>
      <c r="H226" s="19"/>
      <c r="I226" s="13"/>
      <c r="J226" s="13"/>
      <c r="K226" s="13"/>
      <c r="L226" s="13"/>
      <c r="M226" s="15" t="s">
        <v>11</v>
      </c>
      <c r="N226" s="15">
        <f>(C228 * IFERROR(VLOOKUP(D228,LunchTable[],2,FALSE),0)) + (C229 * IFERROR(VLOOKUP(D229,LunchTable[],2,FALSE),0)) + (C230 * IFERROR(VLOOKUP(D230,LunchTable[],2,FALSE),0)) + (C231 * IFERROR(VLOOKUP(D231,LunchTable[],2,FALSE),0))</f>
        <v>0</v>
      </c>
      <c r="O226" s="15">
        <f>(C228 * IFERROR(VLOOKUP(D228,LunchTable[],3,FALSE),0)) + (C229 * IFERROR(VLOOKUP(D229,LunchTable[],3,FALSE),0)) + (C230 * IFERROR(VLOOKUP(D230,LunchTable[],3,FALSE),0)) + (C231 * IFERROR(VLOOKUP(D231,LunchTable[],3,FALSE),0))</f>
        <v>0</v>
      </c>
      <c r="P226" s="15">
        <f>(C228 * IFERROR(VLOOKUP(D228,LunchTable[],4,FALSE),0)) + (C229 * IFERROR(VLOOKUP(D229,LunchTable[],4,FALSE),0)) + (C230 * IFERROR(VLOOKUP(D230,LunchTable[],4,FALSE),0)) + (C231 * IFERROR(VLOOKUP(D231,LunchTable[],4,FALSE),0))</f>
        <v>0</v>
      </c>
    </row>
    <row r="227" spans="1:16" ht="18" thickBot="1" x14ac:dyDescent="0.35">
      <c r="A227" s="10" t="s">
        <v>34</v>
      </c>
      <c r="B227" s="11" t="s">
        <v>6</v>
      </c>
      <c r="C227" s="10" t="s">
        <v>34</v>
      </c>
      <c r="D227" s="11" t="s">
        <v>11</v>
      </c>
      <c r="E227" s="10" t="s">
        <v>34</v>
      </c>
      <c r="F227" s="11" t="s">
        <v>12</v>
      </c>
      <c r="G227" s="10" t="s">
        <v>34</v>
      </c>
      <c r="H227" s="12" t="s">
        <v>35</v>
      </c>
      <c r="I227" s="5" t="s">
        <v>41</v>
      </c>
      <c r="J227" s="5" t="s">
        <v>42</v>
      </c>
      <c r="K227" s="5" t="s">
        <v>43</v>
      </c>
      <c r="L227" s="13"/>
      <c r="M227" s="15" t="s">
        <v>12</v>
      </c>
      <c r="N227" s="15">
        <f>(E228 * IFERROR(VLOOKUP(F228,DinnerTable[],2,FALSE),0)) + (E229 * IFERROR(VLOOKUP(F229,DinnerTable[],2,FALSE),0)) + (E230 * IFERROR(VLOOKUP(F230,DinnerTable[],2,FALSE),0)) + (E231 * IFERROR(VLOOKUP(F231,DinnerTable[],2,FALSE),0))</f>
        <v>60</v>
      </c>
      <c r="O227" s="15">
        <f>(E228 * IFERROR(VLOOKUP(F228,DinnerTable[],3,FALSE),0)) + (E229 * IFERROR(VLOOKUP(F229,DinnerTable[],3,FALSE),0)) + (E230 * IFERROR(VLOOKUP(F230,DinnerTable[],3,FALSE),0)) + (E231 * IFERROR(VLOOKUP(F231,DinnerTable[],3,FALSE),0))</f>
        <v>42</v>
      </c>
      <c r="P227" s="15">
        <f>(E228 * IFERROR(VLOOKUP(F228,DinnerTable[],4,FALSE),0)) + (E229 * IFERROR(VLOOKUP(F229,DinnerTable[],4,FALSE),0)) + (E230 * IFERROR(VLOOKUP(F230,DinnerTable[],4,FALSE),0)) + (E231 * IFERROR(VLOOKUP(F231,DinnerTable[],4,FALSE),0))</f>
        <v>6</v>
      </c>
    </row>
    <row r="228" spans="1:16" ht="15.75" thickTop="1" x14ac:dyDescent="0.25">
      <c r="A228" s="17"/>
      <c r="B228" s="17"/>
      <c r="C228" s="17"/>
      <c r="D228" s="17"/>
      <c r="E228" s="17">
        <v>4</v>
      </c>
      <c r="F228" s="17" t="s">
        <v>29</v>
      </c>
      <c r="G228" s="17">
        <v>1</v>
      </c>
      <c r="H228" s="17" t="s">
        <v>97</v>
      </c>
      <c r="I228" s="2">
        <v>6</v>
      </c>
      <c r="J228" s="2">
        <v>14</v>
      </c>
      <c r="K228" s="2">
        <v>54</v>
      </c>
      <c r="L228" s="13"/>
      <c r="M228" s="15" t="s">
        <v>35</v>
      </c>
      <c r="N228" s="15">
        <f>(G228 * IFERROR(VLOOKUP(H228,PostWorkoutTable[],2,FALSE),0)) + (G229 * IFERROR(VLOOKUP(H229,PostWorkoutTable[],2,FALSE),0)) + (G230 * IFERROR(VLOOKUP(H230,PostWorkoutTable[],2,FALSE),0)) + (G231 * IFERROR(VLOOKUP(H231,PostWorkoutTable[],2,FALSE),0))</f>
        <v>32.200000000000003</v>
      </c>
      <c r="O228" s="15">
        <f>(G228 * IFERROR(VLOOKUP(H228,PostWorkoutTable[],3,FALSE),0)) + (G229 * IFERROR(VLOOKUP(H229,PostWorkoutTable[],3,FALSE),0)) + (G230 * IFERROR(VLOOKUP(H230,PostWorkoutTable[],3,FALSE),0)) + (G231 * IFERROR(VLOOKUP(H231,PostWorkoutTable[],3,FALSE),0))</f>
        <v>14.7</v>
      </c>
      <c r="P228" s="15">
        <f>(G228 * IFERROR(VLOOKUP(H228,PostWorkoutTable[],4,FALSE),0)) + (G229 * IFERROR(VLOOKUP(H229,PostWorkoutTable[],4,FALSE),0)) + (G230 * IFERROR(VLOOKUP(H230,PostWorkoutTable[],4,FALSE),0)) + (G231 * IFERROR(VLOOKUP(H231,PostWorkoutTable[],4,FALSE),0))</f>
        <v>55.4</v>
      </c>
    </row>
    <row r="229" spans="1:16" x14ac:dyDescent="0.25">
      <c r="A229" s="17"/>
      <c r="B229" s="17"/>
      <c r="C229" s="17"/>
      <c r="D229" s="17"/>
      <c r="E229" s="17">
        <v>0.25</v>
      </c>
      <c r="F229" s="17" t="s">
        <v>51</v>
      </c>
      <c r="G229" s="17"/>
      <c r="H229" s="17"/>
      <c r="I229" s="2">
        <v>5</v>
      </c>
      <c r="J229" s="2">
        <v>18</v>
      </c>
      <c r="K229" s="2">
        <v>43</v>
      </c>
      <c r="L229" s="13"/>
      <c r="M229" s="15" t="s">
        <v>21</v>
      </c>
      <c r="N229" s="15">
        <f xml:space="preserve"> SUM(I228:I231)</f>
        <v>53</v>
      </c>
      <c r="O229" s="15">
        <f>SUM(J228:J231)</f>
        <v>50</v>
      </c>
      <c r="P229" s="15">
        <f>SUM(K228:K231)</f>
        <v>110.5</v>
      </c>
    </row>
    <row r="230" spans="1:16" x14ac:dyDescent="0.25">
      <c r="A230" s="17"/>
      <c r="B230" s="17"/>
      <c r="C230" s="17"/>
      <c r="D230" s="17"/>
      <c r="E230" s="17">
        <v>1</v>
      </c>
      <c r="F230" s="17" t="s">
        <v>65</v>
      </c>
      <c r="G230" s="17"/>
      <c r="H230" s="17"/>
      <c r="I230" s="2">
        <v>42</v>
      </c>
      <c r="J230" s="2">
        <v>18</v>
      </c>
      <c r="K230" s="2">
        <v>13.5</v>
      </c>
      <c r="L230" s="13"/>
      <c r="M230" s="15" t="s">
        <v>38</v>
      </c>
      <c r="N230" s="15">
        <f>SUM(N225:N229)</f>
        <v>145.19999999999999</v>
      </c>
      <c r="O230" s="15">
        <f>SUM(O225:O229)</f>
        <v>106.7</v>
      </c>
      <c r="P230" s="15">
        <f>SUM(P225:P229)</f>
        <v>171.9</v>
      </c>
    </row>
    <row r="231" spans="1:16" x14ac:dyDescent="0.25">
      <c r="A231" s="17"/>
      <c r="B231" s="17"/>
      <c r="C231" s="17"/>
      <c r="D231" s="17"/>
      <c r="E231" s="17"/>
      <c r="F231" s="17"/>
      <c r="G231" s="17"/>
      <c r="H231" s="17"/>
      <c r="I231" s="2"/>
      <c r="J231" s="2"/>
      <c r="K231" s="2"/>
      <c r="L231" s="13"/>
      <c r="M231" s="13"/>
      <c r="N231" s="13"/>
      <c r="O231" s="13"/>
      <c r="P231" s="13"/>
    </row>
    <row r="232" spans="1:16" x14ac:dyDescent="0.25">
      <c r="A232" s="13"/>
      <c r="B232" s="13"/>
      <c r="C232" s="13"/>
      <c r="D232" s="13"/>
      <c r="E232" s="13"/>
      <c r="F232" s="13"/>
      <c r="G232" s="13"/>
      <c r="H232" s="13"/>
      <c r="I232" s="13"/>
      <c r="J232" s="13"/>
      <c r="K232" s="13"/>
      <c r="L232" s="13"/>
      <c r="M232" s="13"/>
      <c r="N232" s="13"/>
      <c r="O232" s="13"/>
      <c r="P232" s="13"/>
    </row>
    <row r="233" spans="1:16" ht="23.25" x14ac:dyDescent="0.35">
      <c r="A233" s="21">
        <v>43520</v>
      </c>
      <c r="B233" s="13"/>
      <c r="C233" s="13"/>
      <c r="D233" s="13"/>
      <c r="E233" s="13"/>
      <c r="F233" s="13"/>
      <c r="G233" s="13"/>
      <c r="H233" s="13"/>
      <c r="I233" s="13"/>
      <c r="J233" s="13"/>
      <c r="K233" s="13"/>
      <c r="L233" s="13"/>
      <c r="M233" s="13"/>
      <c r="N233" s="13"/>
      <c r="O233" s="13"/>
      <c r="P233" s="13"/>
    </row>
    <row r="234" spans="1:16" ht="18" thickBot="1" x14ac:dyDescent="0.35">
      <c r="A234" s="3" t="s">
        <v>48</v>
      </c>
      <c r="B234" s="3" t="s">
        <v>0</v>
      </c>
      <c r="C234" s="3" t="s">
        <v>36</v>
      </c>
      <c r="D234" s="3" t="s">
        <v>8</v>
      </c>
      <c r="E234" s="5" t="s">
        <v>9</v>
      </c>
      <c r="F234" s="5" t="s">
        <v>10</v>
      </c>
      <c r="G234" s="14"/>
      <c r="H234" s="19"/>
      <c r="I234" s="13"/>
      <c r="J234" s="13"/>
      <c r="K234" s="13"/>
      <c r="L234" s="13"/>
      <c r="M234" s="14"/>
      <c r="N234" s="15" t="s">
        <v>8</v>
      </c>
      <c r="O234" s="15" t="s">
        <v>9</v>
      </c>
      <c r="P234" s="15" t="s">
        <v>10</v>
      </c>
    </row>
    <row r="235" spans="1:16" ht="15.75" thickTop="1" x14ac:dyDescent="0.25">
      <c r="A235" s="18">
        <v>43514</v>
      </c>
      <c r="B235" s="16">
        <f>IFERROR(VLOOKUP(A235,OverviewTable[],2,FALSE),"?")</f>
        <v>127.4</v>
      </c>
      <c r="C235" s="16" t="str">
        <f>((N240 * 4) + (O240 * 9) + (P240 * 4))&amp;"/"&amp;IFERROR(VLOOKUP(A235,OverviewTable[],11,FALSE),"?")</f>
        <v>2154/2288.4</v>
      </c>
      <c r="D235" s="16" t="str">
        <f>N240&amp;"/"&amp;IFERROR(VLOOKUP(A235,OverviewTable[],12,FALSE),"?")</f>
        <v>117/127</v>
      </c>
      <c r="E235" s="16" t="str">
        <f>O240&amp;"/"&amp;IFERROR(VLOOKUP(A235,OverviewTable[],13,FALSE),"?")</f>
        <v>78/64</v>
      </c>
      <c r="F235" s="16" t="str">
        <f>P240&amp;"/"&amp;IFERROR(VLOOKUP(A235,OverviewTable[],14,FALSE),"?")</f>
        <v>246/301</v>
      </c>
      <c r="G235" s="19"/>
      <c r="H235" s="19"/>
      <c r="I235" s="13"/>
      <c r="J235" s="13"/>
      <c r="K235" s="13"/>
      <c r="L235" s="13"/>
      <c r="M235" s="15" t="s">
        <v>6</v>
      </c>
      <c r="N235" s="15">
        <f>(A238 * IFERROR(VLOOKUP(B238,BreakfastTable[],2,FALSE),0)) + (A239 * IFERROR(VLOOKUP(B239,BreakfastTable[],2,FALSE),0)) + (A240 * IFERROR(VLOOKUP(B240,BreakfastTable[],2,FALSE),0)) + (A241 * IFERROR(VLOOKUP(B241,BreakfastTable[],2,FALSE),0))</f>
        <v>20</v>
      </c>
      <c r="O235" s="15">
        <f>(A238 * IFERROR(VLOOKUP(B238,BreakfastTable[],3,FALSE),0)) + (A239 * IFERROR(VLOOKUP(B239,BreakfastTable[],3,FALSE),0)) + (A240 * IFERROR(VLOOKUP(B240,BreakfastTable[],3,FALSE),0)) + (A241 * IFERROR(VLOOKUP(B241,BreakfastTable[],3,FALSE),0))</f>
        <v>9</v>
      </c>
      <c r="P235" s="15">
        <f>(A238 * IFERROR(VLOOKUP(B238,BreakfastTable[],4,FALSE),0)) + (A239 * IFERROR(VLOOKUP(B239,BreakfastTable[],4,FALSE),0)) + (A240 * IFERROR(VLOOKUP(B240,BreakfastTable[],4,FALSE),0)) + (A241 * IFERROR(VLOOKUP(B241,BreakfastTable[],4,FALSE),0))</f>
        <v>30</v>
      </c>
    </row>
    <row r="236" spans="1:16" x14ac:dyDescent="0.25">
      <c r="A236" s="17"/>
      <c r="B236" s="17"/>
      <c r="C236" s="17"/>
      <c r="D236" s="17"/>
      <c r="E236" s="17"/>
      <c r="F236" s="17"/>
      <c r="G236" s="19"/>
      <c r="H236" s="19"/>
      <c r="I236" s="13"/>
      <c r="J236" s="13"/>
      <c r="K236" s="13"/>
      <c r="L236" s="13"/>
      <c r="M236" s="15" t="s">
        <v>11</v>
      </c>
      <c r="N236" s="15">
        <f>(C238 * IFERROR(VLOOKUP(D238,LunchTable[],2,FALSE),0)) + (C239 * IFERROR(VLOOKUP(D239,LunchTable[],2,FALSE),0)) + (C240 * IFERROR(VLOOKUP(D240,LunchTable[],2,FALSE),0)) + (C241 * IFERROR(VLOOKUP(D241,LunchTable[],2,FALSE),0))</f>
        <v>0</v>
      </c>
      <c r="O236" s="15">
        <f>(C238 * IFERROR(VLOOKUP(D238,LunchTable[],3,FALSE),0)) + (C239 * IFERROR(VLOOKUP(D239,LunchTable[],3,FALSE),0)) + (C240 * IFERROR(VLOOKUP(D240,LunchTable[],3,FALSE),0)) + (C241 * IFERROR(VLOOKUP(D241,LunchTable[],3,FALSE),0))</f>
        <v>0</v>
      </c>
      <c r="P236" s="15">
        <f>(C238 * IFERROR(VLOOKUP(D238,LunchTable[],4,FALSE),0)) + (C239 * IFERROR(VLOOKUP(D239,LunchTable[],4,FALSE),0)) + (C240 * IFERROR(VLOOKUP(D240,LunchTable[],4,FALSE),0)) + (C241 * IFERROR(VLOOKUP(D241,LunchTable[],4,FALSE),0))</f>
        <v>0</v>
      </c>
    </row>
    <row r="237" spans="1:16" ht="18" thickBot="1" x14ac:dyDescent="0.35">
      <c r="A237" s="10" t="s">
        <v>34</v>
      </c>
      <c r="B237" s="11" t="s">
        <v>6</v>
      </c>
      <c r="C237" s="10" t="s">
        <v>34</v>
      </c>
      <c r="D237" s="11" t="s">
        <v>11</v>
      </c>
      <c r="E237" s="10" t="s">
        <v>34</v>
      </c>
      <c r="F237" s="11" t="s">
        <v>12</v>
      </c>
      <c r="G237" s="10" t="s">
        <v>34</v>
      </c>
      <c r="H237" s="12" t="s">
        <v>35</v>
      </c>
      <c r="I237" s="5" t="s">
        <v>41</v>
      </c>
      <c r="J237" s="5" t="s">
        <v>42</v>
      </c>
      <c r="K237" s="5" t="s">
        <v>43</v>
      </c>
      <c r="L237" s="13"/>
      <c r="M237" s="15" t="s">
        <v>12</v>
      </c>
      <c r="N237" s="15">
        <f>(E238 * IFERROR(VLOOKUP(F238,DinnerTable[],2,FALSE),0)) + (E239 * IFERROR(VLOOKUP(F239,DinnerTable[],2,FALSE),0)) + (E240 * IFERROR(VLOOKUP(F240,DinnerTable[],2,FALSE),0)) + (E241 * IFERROR(VLOOKUP(F241,DinnerTable[],2,FALSE),0))</f>
        <v>67</v>
      </c>
      <c r="O237" s="15">
        <f>(E238 * IFERROR(VLOOKUP(F238,DinnerTable[],3,FALSE),0)) + (E239 * IFERROR(VLOOKUP(F239,DinnerTable[],3,FALSE),0)) + (E240 * IFERROR(VLOOKUP(F240,DinnerTable[],3,FALSE),0)) + (E241 * IFERROR(VLOOKUP(F241,DinnerTable[],3,FALSE),0))</f>
        <v>43</v>
      </c>
      <c r="P237" s="15">
        <f>(E238 * IFERROR(VLOOKUP(F238,DinnerTable[],4,FALSE),0)) + (E239 * IFERROR(VLOOKUP(F239,DinnerTable[],4,FALSE),0)) + (E240 * IFERROR(VLOOKUP(F240,DinnerTable[],4,FALSE),0)) + (E241 * IFERROR(VLOOKUP(F241,DinnerTable[],4,FALSE),0))</f>
        <v>126</v>
      </c>
    </row>
    <row r="238" spans="1:16" ht="15.75" thickTop="1" x14ac:dyDescent="0.25">
      <c r="A238" s="17">
        <v>1</v>
      </c>
      <c r="B238" s="17" t="s">
        <v>26</v>
      </c>
      <c r="C238" s="17"/>
      <c r="D238" s="17"/>
      <c r="E238" s="17">
        <v>1</v>
      </c>
      <c r="F238" s="17" t="s">
        <v>50</v>
      </c>
      <c r="G238" s="17"/>
      <c r="H238" s="17"/>
      <c r="I238" s="2">
        <v>24</v>
      </c>
      <c r="J238" s="2">
        <v>20</v>
      </c>
      <c r="K238" s="2">
        <v>58</v>
      </c>
      <c r="L238" s="13"/>
      <c r="M238" s="15" t="s">
        <v>35</v>
      </c>
      <c r="N238" s="15">
        <f>(G238 * IFERROR(VLOOKUP(H238,PostWorkoutTable[],2,FALSE),0)) + (G239 * IFERROR(VLOOKUP(H239,PostWorkoutTable[],2,FALSE),0)) + (G240 * IFERROR(VLOOKUP(H240,PostWorkoutTable[],2,FALSE),0)) + (G241 * IFERROR(VLOOKUP(H241,PostWorkoutTable[],2,FALSE),0))</f>
        <v>0</v>
      </c>
      <c r="O238" s="15">
        <f>(G238 * IFERROR(VLOOKUP(H238,PostWorkoutTable[],3,FALSE),0)) + (G239 * IFERROR(VLOOKUP(H239,PostWorkoutTable[],3,FALSE),0)) + (G240 * IFERROR(VLOOKUP(H240,PostWorkoutTable[],3,FALSE),0)) + (G241 * IFERROR(VLOOKUP(H241,PostWorkoutTable[],3,FALSE),0))</f>
        <v>0</v>
      </c>
      <c r="P238" s="15">
        <f>(G238 * IFERROR(VLOOKUP(H238,PostWorkoutTable[],4,FALSE),0)) + (G239 * IFERROR(VLOOKUP(H239,PostWorkoutTable[],4,FALSE),0)) + (G240 * IFERROR(VLOOKUP(H240,PostWorkoutTable[],4,FALSE),0)) + (G241 * IFERROR(VLOOKUP(H241,PostWorkoutTable[],4,FALSE),0))</f>
        <v>0</v>
      </c>
    </row>
    <row r="239" spans="1:16" x14ac:dyDescent="0.25">
      <c r="A239" s="17"/>
      <c r="B239" s="17"/>
      <c r="C239" s="17"/>
      <c r="D239" s="17"/>
      <c r="E239" s="17">
        <v>2</v>
      </c>
      <c r="F239" s="17" t="s">
        <v>66</v>
      </c>
      <c r="G239" s="17"/>
      <c r="H239" s="17"/>
      <c r="I239" s="2">
        <v>6</v>
      </c>
      <c r="J239" s="2">
        <v>6</v>
      </c>
      <c r="K239" s="2">
        <v>32</v>
      </c>
      <c r="L239" s="13"/>
      <c r="M239" s="15" t="s">
        <v>21</v>
      </c>
      <c r="N239" s="15">
        <f xml:space="preserve"> SUM(I238:I241)</f>
        <v>30</v>
      </c>
      <c r="O239" s="15">
        <f>SUM(J238:J241)</f>
        <v>26</v>
      </c>
      <c r="P239" s="15">
        <f>SUM(K238:K241)</f>
        <v>90</v>
      </c>
    </row>
    <row r="240" spans="1:16" x14ac:dyDescent="0.25">
      <c r="A240" s="17"/>
      <c r="B240" s="17"/>
      <c r="C240" s="17"/>
      <c r="D240" s="17"/>
      <c r="E240" s="17">
        <v>2</v>
      </c>
      <c r="F240" s="17" t="s">
        <v>65</v>
      </c>
      <c r="G240" s="17"/>
      <c r="H240" s="17"/>
      <c r="I240" s="2"/>
      <c r="J240" s="2"/>
      <c r="K240" s="2"/>
      <c r="L240" s="13"/>
      <c r="M240" s="15" t="s">
        <v>38</v>
      </c>
      <c r="N240" s="15">
        <f>SUM(N235:N239)</f>
        <v>117</v>
      </c>
      <c r="O240" s="15">
        <f>SUM(O235:O239)</f>
        <v>78</v>
      </c>
      <c r="P240" s="15">
        <f>SUM(P235:P239)</f>
        <v>246</v>
      </c>
    </row>
    <row r="241" spans="1:16" x14ac:dyDescent="0.25">
      <c r="A241" s="17"/>
      <c r="B241" s="17"/>
      <c r="C241" s="17"/>
      <c r="D241" s="17"/>
      <c r="E241" s="17">
        <v>0.5</v>
      </c>
      <c r="F241" s="17" t="s">
        <v>79</v>
      </c>
      <c r="G241" s="17"/>
      <c r="H241" s="17"/>
      <c r="I241" s="2"/>
      <c r="J241" s="2"/>
      <c r="K241" s="2"/>
      <c r="L241" s="13"/>
      <c r="M241" s="13"/>
      <c r="N241" s="13"/>
      <c r="O241" s="13"/>
      <c r="P241" s="13"/>
    </row>
    <row r="242" spans="1:16" x14ac:dyDescent="0.25">
      <c r="A242" s="13"/>
      <c r="B242" s="13"/>
      <c r="C242" s="13"/>
      <c r="D242" s="13"/>
      <c r="E242" s="13"/>
      <c r="F242" s="13"/>
      <c r="G242" s="13"/>
      <c r="H242" s="13"/>
      <c r="I242" s="13"/>
      <c r="J242" s="13"/>
      <c r="K242" s="13"/>
      <c r="L242" s="13"/>
      <c r="M242" s="13"/>
      <c r="N242" s="13"/>
      <c r="O242" s="13"/>
      <c r="P242" s="13"/>
    </row>
    <row r="243" spans="1:16" ht="23.25" x14ac:dyDescent="0.35">
      <c r="A243" s="21">
        <v>43521</v>
      </c>
      <c r="B243" s="13"/>
      <c r="C243" s="13"/>
      <c r="D243" s="13"/>
      <c r="E243" s="13"/>
      <c r="F243" s="13"/>
      <c r="G243" s="13"/>
      <c r="H243" s="13"/>
      <c r="I243" s="13"/>
      <c r="J243" s="13"/>
      <c r="K243" s="13"/>
      <c r="L243" s="13"/>
      <c r="M243" s="13"/>
      <c r="N243" s="13"/>
      <c r="O243" s="13"/>
      <c r="P243" s="13"/>
    </row>
    <row r="244" spans="1:16" ht="18" thickBot="1" x14ac:dyDescent="0.35">
      <c r="A244" s="3" t="s">
        <v>48</v>
      </c>
      <c r="B244" s="3" t="s">
        <v>0</v>
      </c>
      <c r="C244" s="3" t="s">
        <v>36</v>
      </c>
      <c r="D244" s="3" t="s">
        <v>8</v>
      </c>
      <c r="E244" s="5" t="s">
        <v>9</v>
      </c>
      <c r="F244" s="5" t="s">
        <v>10</v>
      </c>
      <c r="G244" s="14"/>
      <c r="H244" s="19"/>
      <c r="I244" s="13"/>
      <c r="J244" s="13"/>
      <c r="K244" s="13"/>
      <c r="L244" s="13"/>
      <c r="M244" s="14"/>
      <c r="N244" s="15" t="s">
        <v>8</v>
      </c>
      <c r="O244" s="15" t="s">
        <v>9</v>
      </c>
      <c r="P244" s="15" t="s">
        <v>10</v>
      </c>
    </row>
    <row r="245" spans="1:16" ht="15.75" thickTop="1" x14ac:dyDescent="0.25">
      <c r="A245" s="18">
        <v>43521</v>
      </c>
      <c r="B245" s="16">
        <f>IFERROR(VLOOKUP(A245,OverviewTable[],2,FALSE),"?")</f>
        <v>128.6</v>
      </c>
      <c r="C245" s="16" t="str">
        <f>((N250 * 4) + (O250 * 9) + (P250 * 4))&amp;"/"&amp;IFERROR(VLOOKUP(A245,OverviewTable[],11,FALSE),"?")</f>
        <v>1990.1/2307.6</v>
      </c>
      <c r="D245" s="16" t="str">
        <f>N250&amp;"/"&amp;IFERROR(VLOOKUP(A245,OverviewTable[],12,FALSE),"?")</f>
        <v>197.9/129</v>
      </c>
      <c r="E245" s="16" t="str">
        <f>O250&amp;"/"&amp;IFERROR(VLOOKUP(A245,OverviewTable[],13,FALSE),"?")</f>
        <v>48.9/64</v>
      </c>
      <c r="F245" s="16" t="str">
        <f>P250&amp;"/"&amp;IFERROR(VLOOKUP(A245,OverviewTable[],14,FALSE),"?")</f>
        <v>189.6/304</v>
      </c>
      <c r="G245" s="19"/>
      <c r="H245" s="19"/>
      <c r="I245" s="13"/>
      <c r="J245" s="13"/>
      <c r="K245" s="13"/>
      <c r="L245" s="13"/>
      <c r="M245" s="15" t="s">
        <v>6</v>
      </c>
      <c r="N245" s="15">
        <f>(A248 * IFERROR(VLOOKUP(B248,BreakfastTable[],2,FALSE),0)) + (A249 * IFERROR(VLOOKUP(B249,BreakfastTable[],2,FALSE),0)) + (A250 * IFERROR(VLOOKUP(B250,BreakfastTable[],2,FALSE),0)) + (A251 * IFERROR(VLOOKUP(B251,BreakfastTable[],2,FALSE),0))</f>
        <v>32.299999999999997</v>
      </c>
      <c r="O245" s="15">
        <f>(A248 * IFERROR(VLOOKUP(B248,BreakfastTable[],3,FALSE),0)) + (A249 * IFERROR(VLOOKUP(B249,BreakfastTable[],3,FALSE),0)) + (A250 * IFERROR(VLOOKUP(B250,BreakfastTable[],3,FALSE),0)) + (A251 * IFERROR(VLOOKUP(B251,BreakfastTable[],3,FALSE),0))</f>
        <v>14.9</v>
      </c>
      <c r="P245" s="15">
        <f>(A248 * IFERROR(VLOOKUP(B248,BreakfastTable[],4,FALSE),0)) + (A249 * IFERROR(VLOOKUP(B249,BreakfastTable[],4,FALSE),0)) + (A250 * IFERROR(VLOOKUP(B250,BreakfastTable[],4,FALSE),0)) + (A251 * IFERROR(VLOOKUP(B251,BreakfastTable[],4,FALSE),0))</f>
        <v>55.3</v>
      </c>
    </row>
    <row r="246" spans="1:16" x14ac:dyDescent="0.25">
      <c r="A246" s="17"/>
      <c r="B246" s="17"/>
      <c r="C246" s="17"/>
      <c r="D246" s="17"/>
      <c r="E246" s="17"/>
      <c r="F246" s="17"/>
      <c r="G246" s="19"/>
      <c r="H246" s="19"/>
      <c r="I246" s="13"/>
      <c r="J246" s="13"/>
      <c r="K246" s="13"/>
      <c r="L246" s="13"/>
      <c r="M246" s="15" t="s">
        <v>11</v>
      </c>
      <c r="N246" s="15">
        <f>(C248 * IFERROR(VLOOKUP(D248,LunchTable[],2,FALSE),0)) + (C249 * IFERROR(VLOOKUP(D249,LunchTable[],2,FALSE),0)) + (C250 * IFERROR(VLOOKUP(D250,LunchTable[],2,FALSE),0)) + (C251 * IFERROR(VLOOKUP(D251,LunchTable[],2,FALSE),0))</f>
        <v>50.6</v>
      </c>
      <c r="O246" s="15">
        <f>(C248 * IFERROR(VLOOKUP(D248,LunchTable[],3,FALSE),0)) + (C249 * IFERROR(VLOOKUP(D249,LunchTable[],3,FALSE),0)) + (C250 * IFERROR(VLOOKUP(D250,LunchTable[],3,FALSE),0)) + (C251 * IFERROR(VLOOKUP(D251,LunchTable[],3,FALSE),0))</f>
        <v>17.5</v>
      </c>
      <c r="P246" s="15">
        <f>(C248 * IFERROR(VLOOKUP(D248,LunchTable[],4,FALSE),0)) + (C249 * IFERROR(VLOOKUP(D249,LunchTable[],4,FALSE),0)) + (C250 * IFERROR(VLOOKUP(D250,LunchTable[],4,FALSE),0)) + (C251 * IFERROR(VLOOKUP(D251,LunchTable[],4,FALSE),0))</f>
        <v>99.3</v>
      </c>
    </row>
    <row r="247" spans="1:16" ht="18" thickBot="1" x14ac:dyDescent="0.35">
      <c r="A247" s="10" t="s">
        <v>34</v>
      </c>
      <c r="B247" s="11" t="s">
        <v>6</v>
      </c>
      <c r="C247" s="10" t="s">
        <v>34</v>
      </c>
      <c r="D247" s="11" t="s">
        <v>11</v>
      </c>
      <c r="E247" s="10" t="s">
        <v>34</v>
      </c>
      <c r="F247" s="11" t="s">
        <v>12</v>
      </c>
      <c r="G247" s="10" t="s">
        <v>34</v>
      </c>
      <c r="H247" s="12" t="s">
        <v>35</v>
      </c>
      <c r="I247" s="5" t="s">
        <v>41</v>
      </c>
      <c r="J247" s="5" t="s">
        <v>42</v>
      </c>
      <c r="K247" s="5" t="s">
        <v>43</v>
      </c>
      <c r="L247" s="13"/>
      <c r="M247" s="15" t="s">
        <v>12</v>
      </c>
      <c r="N247" s="15">
        <f>(E248 * IFERROR(VLOOKUP(F248,DinnerTable[],2,FALSE),0)) + (E249 * IFERROR(VLOOKUP(F249,DinnerTable[],2,FALSE),0)) + (E250 * IFERROR(VLOOKUP(F250,DinnerTable[],2,FALSE),0)) + (E251 * IFERROR(VLOOKUP(F251,DinnerTable[],2,FALSE),0))</f>
        <v>95</v>
      </c>
      <c r="O247" s="15">
        <f>(E248 * IFERROR(VLOOKUP(F248,DinnerTable[],3,FALSE),0)) + (E249 * IFERROR(VLOOKUP(F249,DinnerTable[],3,FALSE),0)) + (E250 * IFERROR(VLOOKUP(F250,DinnerTable[],3,FALSE),0)) + (E251 * IFERROR(VLOOKUP(F251,DinnerTable[],3,FALSE),0))</f>
        <v>7.5</v>
      </c>
      <c r="P247" s="15">
        <f>(E248 * IFERROR(VLOOKUP(F248,DinnerTable[],4,FALSE),0)) + (E249 * IFERROR(VLOOKUP(F249,DinnerTable[],4,FALSE),0)) + (E250 * IFERROR(VLOOKUP(F250,DinnerTable[],4,FALSE),0)) + (E251 * IFERROR(VLOOKUP(F251,DinnerTable[],4,FALSE),0))</f>
        <v>5</v>
      </c>
    </row>
    <row r="248" spans="1:16" ht="15.75" thickTop="1" x14ac:dyDescent="0.25">
      <c r="A248" s="17">
        <v>1</v>
      </c>
      <c r="B248" s="17" t="s">
        <v>98</v>
      </c>
      <c r="C248" s="17">
        <v>1</v>
      </c>
      <c r="D248" s="17" t="s">
        <v>23</v>
      </c>
      <c r="E248" s="17">
        <v>1</v>
      </c>
      <c r="F248" s="17" t="s">
        <v>53</v>
      </c>
      <c r="G248" s="17">
        <v>1</v>
      </c>
      <c r="H248" s="17" t="s">
        <v>26</v>
      </c>
      <c r="I248" s="2"/>
      <c r="J248" s="2"/>
      <c r="K248" s="2"/>
      <c r="L248" s="13"/>
      <c r="M248" s="15" t="s">
        <v>35</v>
      </c>
      <c r="N248" s="15">
        <f>(G248 * IFERROR(VLOOKUP(H248,PostWorkoutTable[],2,FALSE),0)) + (G249 * IFERROR(VLOOKUP(H249,PostWorkoutTable[],2,FALSE),0)) + (G250 * IFERROR(VLOOKUP(H250,PostWorkoutTable[],2,FALSE),0)) + (G251 * IFERROR(VLOOKUP(H251,PostWorkoutTable[],2,FALSE),0))</f>
        <v>20</v>
      </c>
      <c r="O248" s="15">
        <f>(G248 * IFERROR(VLOOKUP(H248,PostWorkoutTable[],3,FALSE),0)) + (G249 * IFERROR(VLOOKUP(H249,PostWorkoutTable[],3,FALSE),0)) + (G250 * IFERROR(VLOOKUP(H250,PostWorkoutTable[],3,FALSE),0)) + (G251 * IFERROR(VLOOKUP(H251,PostWorkoutTable[],3,FALSE),0))</f>
        <v>9</v>
      </c>
      <c r="P248" s="15">
        <f>(G248 * IFERROR(VLOOKUP(H248,PostWorkoutTable[],4,FALSE),0)) + (G249 * IFERROR(VLOOKUP(H249,PostWorkoutTable[],4,FALSE),0)) + (G250 * IFERROR(VLOOKUP(H250,PostWorkoutTable[],4,FALSE),0)) + (G251 * IFERROR(VLOOKUP(H251,PostWorkoutTable[],4,FALSE),0))</f>
        <v>30</v>
      </c>
    </row>
    <row r="249" spans="1:16" x14ac:dyDescent="0.25">
      <c r="A249" s="17"/>
      <c r="B249" s="17"/>
      <c r="C249" s="17">
        <v>1</v>
      </c>
      <c r="D249" s="17" t="s">
        <v>90</v>
      </c>
      <c r="E249" s="17"/>
      <c r="F249" s="17"/>
      <c r="G249" s="17"/>
      <c r="H249" s="17"/>
      <c r="I249" s="2"/>
      <c r="J249" s="2"/>
      <c r="K249" s="2"/>
      <c r="L249" s="13"/>
      <c r="M249" s="15" t="s">
        <v>21</v>
      </c>
      <c r="N249" s="15">
        <f xml:space="preserve"> SUM(I248:I251)</f>
        <v>0</v>
      </c>
      <c r="O249" s="15">
        <f>SUM(J248:J251)</f>
        <v>0</v>
      </c>
      <c r="P249" s="15">
        <f>SUM(K248:K251)</f>
        <v>0</v>
      </c>
    </row>
    <row r="250" spans="1:16" x14ac:dyDescent="0.25">
      <c r="A250" s="17"/>
      <c r="B250" s="17"/>
      <c r="C250" s="17">
        <v>0.5</v>
      </c>
      <c r="D250" s="17" t="s">
        <v>51</v>
      </c>
      <c r="E250" s="17"/>
      <c r="F250" s="17"/>
      <c r="G250" s="17"/>
      <c r="H250" s="17"/>
      <c r="I250" s="2"/>
      <c r="J250" s="2"/>
      <c r="K250" s="2"/>
      <c r="L250" s="13"/>
      <c r="M250" s="15" t="s">
        <v>38</v>
      </c>
      <c r="N250" s="15">
        <f>SUM(N245:N249)</f>
        <v>197.9</v>
      </c>
      <c r="O250" s="15">
        <f>SUM(O245:O249)</f>
        <v>48.9</v>
      </c>
      <c r="P250" s="15">
        <f>SUM(P245:P249)</f>
        <v>189.6</v>
      </c>
    </row>
    <row r="251" spans="1:16" x14ac:dyDescent="0.25">
      <c r="A251" s="17"/>
      <c r="B251" s="17"/>
      <c r="C251" s="17">
        <v>1</v>
      </c>
      <c r="D251" s="17" t="s">
        <v>27</v>
      </c>
      <c r="E251" s="17"/>
      <c r="F251" s="17"/>
      <c r="G251" s="17"/>
      <c r="H251" s="17"/>
      <c r="I251" s="2"/>
      <c r="J251" s="2"/>
      <c r="K251" s="2"/>
      <c r="L251" s="13"/>
      <c r="M251" s="13"/>
      <c r="N251" s="13"/>
      <c r="O251" s="13"/>
      <c r="P251" s="13"/>
    </row>
    <row r="252" spans="1:16" x14ac:dyDescent="0.25">
      <c r="A252" s="13"/>
      <c r="B252" s="13"/>
      <c r="C252" s="13"/>
      <c r="D252" s="13"/>
      <c r="E252" s="13"/>
      <c r="F252" s="13"/>
      <c r="G252" s="13"/>
      <c r="H252" s="13"/>
      <c r="I252" s="13"/>
      <c r="J252" s="13"/>
      <c r="K252" s="13"/>
      <c r="L252" s="13"/>
      <c r="M252" s="13"/>
      <c r="N252" s="13"/>
      <c r="O252" s="13"/>
      <c r="P252" s="13"/>
    </row>
    <row r="253" spans="1:16" ht="23.25" x14ac:dyDescent="0.35">
      <c r="A253" s="21">
        <v>43522</v>
      </c>
      <c r="B253" s="13"/>
      <c r="C253" s="13"/>
      <c r="D253" s="13"/>
      <c r="E253" s="13"/>
      <c r="F253" s="13"/>
      <c r="G253" s="13"/>
      <c r="H253" s="13"/>
      <c r="I253" s="13"/>
      <c r="J253" s="13"/>
      <c r="K253" s="13"/>
      <c r="L253" s="13"/>
      <c r="M253" s="13"/>
      <c r="N253" s="13"/>
      <c r="O253" s="13"/>
      <c r="P253" s="13"/>
    </row>
    <row r="254" spans="1:16" ht="18" thickBot="1" x14ac:dyDescent="0.35">
      <c r="A254" s="3" t="s">
        <v>48</v>
      </c>
      <c r="B254" s="3" t="s">
        <v>0</v>
      </c>
      <c r="C254" s="3" t="s">
        <v>36</v>
      </c>
      <c r="D254" s="3" t="s">
        <v>8</v>
      </c>
      <c r="E254" s="5" t="s">
        <v>9</v>
      </c>
      <c r="F254" s="5" t="s">
        <v>10</v>
      </c>
      <c r="G254" s="14"/>
      <c r="H254" s="19"/>
      <c r="I254" s="13"/>
      <c r="J254" s="13"/>
      <c r="K254" s="13"/>
      <c r="L254" s="13"/>
      <c r="M254" s="14"/>
      <c r="N254" s="15" t="s">
        <v>8</v>
      </c>
      <c r="O254" s="15" t="s">
        <v>9</v>
      </c>
      <c r="P254" s="15" t="s">
        <v>10</v>
      </c>
    </row>
    <row r="255" spans="1:16" ht="15.75" thickTop="1" x14ac:dyDescent="0.25">
      <c r="A255" s="18">
        <v>43521</v>
      </c>
      <c r="B255" s="16">
        <f>IFERROR(VLOOKUP(A255,OverviewTable[],2,FALSE),"?")</f>
        <v>128.6</v>
      </c>
      <c r="C255" s="16" t="str">
        <f>((N260 * 4) + (O260 * 9) + (P260 * 4))&amp;"/"&amp;IFERROR(VLOOKUP(A255,OverviewTable[],11,FALSE),"?")</f>
        <v>2517.45/2307.6</v>
      </c>
      <c r="D255" s="16" t="str">
        <f>N260&amp;"/"&amp;IFERROR(VLOOKUP(A255,OverviewTable[],12,FALSE),"?")</f>
        <v>109.8/129</v>
      </c>
      <c r="E255" s="16" t="str">
        <f>O260&amp;"/"&amp;IFERROR(VLOOKUP(A255,OverviewTable[],13,FALSE),"?")</f>
        <v>127.45/64</v>
      </c>
      <c r="F255" s="16" t="str">
        <f>P260&amp;"/"&amp;IFERROR(VLOOKUP(A255,OverviewTable[],14,FALSE),"?")</f>
        <v>232.8/304</v>
      </c>
      <c r="G255" s="19"/>
      <c r="H255" s="19"/>
      <c r="I255" s="13"/>
      <c r="J255" s="13"/>
      <c r="K255" s="13"/>
      <c r="L255" s="13"/>
      <c r="M255" s="15" t="s">
        <v>6</v>
      </c>
      <c r="N255" s="15">
        <f>(A258 * IFERROR(VLOOKUP(B258,BreakfastTable[],2,FALSE),0)) + (A259 * IFERROR(VLOOKUP(B259,BreakfastTable[],2,FALSE),0)) + (A260 * IFERROR(VLOOKUP(B260,BreakfastTable[],2,FALSE),0)) + (A261 * IFERROR(VLOOKUP(B261,BreakfastTable[],2,FALSE),0))</f>
        <v>11.8</v>
      </c>
      <c r="O255" s="15">
        <f>(A258 * IFERROR(VLOOKUP(B258,BreakfastTable[],3,FALSE),0)) + (A259 * IFERROR(VLOOKUP(B259,BreakfastTable[],3,FALSE),0)) + (A260 * IFERROR(VLOOKUP(B260,BreakfastTable[],3,FALSE),0)) + (A261 * IFERROR(VLOOKUP(B261,BreakfastTable[],3,FALSE),0))</f>
        <v>3.45</v>
      </c>
      <c r="P255" s="15">
        <f>(A258 * IFERROR(VLOOKUP(B258,BreakfastTable[],4,FALSE),0)) + (A259 * IFERROR(VLOOKUP(B259,BreakfastTable[],4,FALSE),0)) + (A260 * IFERROR(VLOOKUP(B260,BreakfastTable[],4,FALSE),0)) + (A261 * IFERROR(VLOOKUP(B261,BreakfastTable[],4,FALSE),0))</f>
        <v>42.8</v>
      </c>
    </row>
    <row r="256" spans="1:16" x14ac:dyDescent="0.25">
      <c r="A256" s="17"/>
      <c r="B256" s="17"/>
      <c r="C256" s="17"/>
      <c r="D256" s="17"/>
      <c r="E256" s="17"/>
      <c r="F256" s="17"/>
      <c r="G256" s="19"/>
      <c r="H256" s="19"/>
      <c r="I256" s="13"/>
      <c r="J256" s="13"/>
      <c r="K256" s="13"/>
      <c r="L256" s="13"/>
      <c r="M256" s="15" t="s">
        <v>11</v>
      </c>
      <c r="N256" s="15">
        <f>(C258 * IFERROR(VLOOKUP(D258,LunchTable[],2,FALSE),0)) + (C259 * IFERROR(VLOOKUP(D259,LunchTable[],2,FALSE),0)) + (C260 * IFERROR(VLOOKUP(D260,LunchTable[],2,FALSE),0)) + (C261 * IFERROR(VLOOKUP(D261,LunchTable[],2,FALSE),0))</f>
        <v>0</v>
      </c>
      <c r="O256" s="15">
        <f>(C258 * IFERROR(VLOOKUP(D258,LunchTable[],3,FALSE),0)) + (C259 * IFERROR(VLOOKUP(D259,LunchTable[],3,FALSE),0)) + (C260 * IFERROR(VLOOKUP(D260,LunchTable[],3,FALSE),0)) + (C261 * IFERROR(VLOOKUP(D261,LunchTable[],3,FALSE),0))</f>
        <v>0</v>
      </c>
      <c r="P256" s="15">
        <f>(C258 * IFERROR(VLOOKUP(D258,LunchTable[],4,FALSE),0)) + (C259 * IFERROR(VLOOKUP(D259,LunchTable[],4,FALSE),0)) + (C260 * IFERROR(VLOOKUP(D260,LunchTable[],4,FALSE),0)) + (C261 * IFERROR(VLOOKUP(D261,LunchTable[],4,FALSE),0))</f>
        <v>0</v>
      </c>
    </row>
    <row r="257" spans="1:16" ht="18" thickBot="1" x14ac:dyDescent="0.35">
      <c r="A257" s="10" t="s">
        <v>34</v>
      </c>
      <c r="B257" s="11" t="s">
        <v>6</v>
      </c>
      <c r="C257" s="10" t="s">
        <v>34</v>
      </c>
      <c r="D257" s="11" t="s">
        <v>11</v>
      </c>
      <c r="E257" s="10" t="s">
        <v>34</v>
      </c>
      <c r="F257" s="11" t="s">
        <v>12</v>
      </c>
      <c r="G257" s="10" t="s">
        <v>34</v>
      </c>
      <c r="H257" s="12" t="s">
        <v>35</v>
      </c>
      <c r="I257" s="5" t="s">
        <v>41</v>
      </c>
      <c r="J257" s="5" t="s">
        <v>42</v>
      </c>
      <c r="K257" s="5" t="s">
        <v>43</v>
      </c>
      <c r="L257" s="13"/>
      <c r="M257" s="15" t="s">
        <v>12</v>
      </c>
      <c r="N257" s="15">
        <f>(E258 * IFERROR(VLOOKUP(F258,DinnerTable[],2,FALSE),0)) + (E259 * IFERROR(VLOOKUP(F259,DinnerTable[],2,FALSE),0)) + (E260 * IFERROR(VLOOKUP(F260,DinnerTable[],2,FALSE),0)) + (E261 * IFERROR(VLOOKUP(F261,DinnerTable[],2,FALSE),0))</f>
        <v>0</v>
      </c>
      <c r="O257" s="15">
        <f>(E258 * IFERROR(VLOOKUP(F258,DinnerTable[],3,FALSE),0)) + (E259 * IFERROR(VLOOKUP(F259,DinnerTable[],3,FALSE),0)) + (E260 * IFERROR(VLOOKUP(F260,DinnerTable[],3,FALSE),0)) + (E261 * IFERROR(VLOOKUP(F261,DinnerTable[],3,FALSE),0))</f>
        <v>0</v>
      </c>
      <c r="P257" s="15">
        <f>(E258 * IFERROR(VLOOKUP(F258,DinnerTable[],4,FALSE),0)) + (E259 * IFERROR(VLOOKUP(F259,DinnerTable[],4,FALSE),0)) + (E260 * IFERROR(VLOOKUP(F260,DinnerTable[],4,FALSE),0)) + (E261 * IFERROR(VLOOKUP(F261,DinnerTable[],4,FALSE),0))</f>
        <v>0</v>
      </c>
    </row>
    <row r="258" spans="1:16" ht="15.75" thickTop="1" x14ac:dyDescent="0.25">
      <c r="A258" s="17">
        <v>1</v>
      </c>
      <c r="B258" s="17" t="s">
        <v>102</v>
      </c>
      <c r="C258" s="17"/>
      <c r="D258" s="17"/>
      <c r="E258" s="17"/>
      <c r="F258" s="17"/>
      <c r="G258" s="17"/>
      <c r="H258" s="17"/>
      <c r="I258" s="2">
        <v>51</v>
      </c>
      <c r="J258" s="2">
        <v>62</v>
      </c>
      <c r="K258" s="2">
        <v>40</v>
      </c>
      <c r="L258" s="13"/>
      <c r="M258" s="15" t="s">
        <v>35</v>
      </c>
      <c r="N258" s="15">
        <f>(G258 * IFERROR(VLOOKUP(H258,PostWorkoutTable[],2,FALSE),0)) + (G259 * IFERROR(VLOOKUP(H259,PostWorkoutTable[],2,FALSE),0)) + (G260 * IFERROR(VLOOKUP(H260,PostWorkoutTable[],2,FALSE),0)) + (G261 * IFERROR(VLOOKUP(H261,PostWorkoutTable[],2,FALSE),0))</f>
        <v>0</v>
      </c>
      <c r="O258" s="15">
        <f>(G258 * IFERROR(VLOOKUP(H258,PostWorkoutTable[],3,FALSE),0)) + (G259 * IFERROR(VLOOKUP(H259,PostWorkoutTable[],3,FALSE),0)) + (G260 * IFERROR(VLOOKUP(H260,PostWorkoutTable[],3,FALSE),0)) + (G261 * IFERROR(VLOOKUP(H261,PostWorkoutTable[],3,FALSE),0))</f>
        <v>0</v>
      </c>
      <c r="P258" s="15">
        <f>(G258 * IFERROR(VLOOKUP(H258,PostWorkoutTable[],4,FALSE),0)) + (G259 * IFERROR(VLOOKUP(H259,PostWorkoutTable[],4,FALSE),0)) + (G260 * IFERROR(VLOOKUP(H260,PostWorkoutTable[],4,FALSE),0)) + (G261 * IFERROR(VLOOKUP(H261,PostWorkoutTable[],4,FALSE),0))</f>
        <v>0</v>
      </c>
    </row>
    <row r="259" spans="1:16" x14ac:dyDescent="0.25">
      <c r="A259" s="17">
        <v>1</v>
      </c>
      <c r="B259" s="17" t="s">
        <v>101</v>
      </c>
      <c r="C259" s="17"/>
      <c r="D259" s="17"/>
      <c r="E259" s="17"/>
      <c r="F259" s="17"/>
      <c r="G259" s="17"/>
      <c r="H259" s="17"/>
      <c r="I259" s="2">
        <v>13</v>
      </c>
      <c r="J259" s="2">
        <v>32</v>
      </c>
      <c r="K259" s="2">
        <v>84</v>
      </c>
      <c r="L259" s="13"/>
      <c r="M259" s="15" t="s">
        <v>21</v>
      </c>
      <c r="N259" s="15">
        <f xml:space="preserve"> SUM(I258:I261)</f>
        <v>98</v>
      </c>
      <c r="O259" s="15">
        <f>SUM(J258:J261)</f>
        <v>124</v>
      </c>
      <c r="P259" s="15">
        <f>SUM(K258:K261)</f>
        <v>190</v>
      </c>
    </row>
    <row r="260" spans="1:16" x14ac:dyDescent="0.25">
      <c r="A260" s="17">
        <v>1</v>
      </c>
      <c r="B260" s="17" t="s">
        <v>33</v>
      </c>
      <c r="C260" s="17"/>
      <c r="D260" s="17"/>
      <c r="E260" s="17"/>
      <c r="F260" s="17"/>
      <c r="G260" s="17"/>
      <c r="H260" s="17"/>
      <c r="I260" s="2">
        <v>34</v>
      </c>
      <c r="J260" s="2">
        <v>30</v>
      </c>
      <c r="K260" s="2">
        <v>66</v>
      </c>
      <c r="L260" s="13"/>
      <c r="M260" s="15" t="s">
        <v>38</v>
      </c>
      <c r="N260" s="15">
        <f>SUM(N255:N259)</f>
        <v>109.8</v>
      </c>
      <c r="O260" s="15">
        <f>SUM(O255:O259)</f>
        <v>127.45</v>
      </c>
      <c r="P260" s="15">
        <f>SUM(P255:P259)</f>
        <v>232.8</v>
      </c>
    </row>
    <row r="261" spans="1:16" x14ac:dyDescent="0.25">
      <c r="A261" s="17"/>
      <c r="B261" s="17"/>
      <c r="C261" s="17"/>
      <c r="D261" s="17"/>
      <c r="E261" s="17"/>
      <c r="F261" s="17"/>
      <c r="G261" s="17"/>
      <c r="H261" s="17"/>
      <c r="I261" s="2"/>
      <c r="J261" s="2"/>
      <c r="K261" s="2"/>
      <c r="L261" s="13"/>
      <c r="M261" s="13"/>
      <c r="N261" s="13"/>
      <c r="O261" s="13"/>
      <c r="P261" s="13"/>
    </row>
    <row r="262" spans="1:16" x14ac:dyDescent="0.25">
      <c r="A262" s="13"/>
      <c r="B262" s="13"/>
      <c r="C262" s="13"/>
      <c r="D262" s="13"/>
      <c r="E262" s="13"/>
      <c r="F262" s="13"/>
      <c r="G262" s="13"/>
      <c r="H262" s="13"/>
      <c r="I262" s="13"/>
      <c r="J262" s="13"/>
      <c r="K262" s="13"/>
      <c r="L262" s="13"/>
      <c r="M262" s="13"/>
      <c r="N262" s="13"/>
      <c r="O262" s="13"/>
      <c r="P262" s="13"/>
    </row>
    <row r="263" spans="1:16" ht="23.25" x14ac:dyDescent="0.35">
      <c r="A263" s="21">
        <v>43523</v>
      </c>
      <c r="B263" s="13"/>
      <c r="C263" s="13"/>
      <c r="D263" s="13"/>
      <c r="E263" s="13"/>
      <c r="F263" s="13"/>
      <c r="G263" s="13"/>
      <c r="H263" s="13"/>
      <c r="I263" s="13"/>
      <c r="J263" s="13"/>
      <c r="K263" s="13"/>
      <c r="L263" s="13"/>
      <c r="M263" s="13"/>
      <c r="N263" s="13"/>
      <c r="O263" s="13"/>
      <c r="P263" s="13"/>
    </row>
    <row r="264" spans="1:16" ht="18" thickBot="1" x14ac:dyDescent="0.35">
      <c r="A264" s="3" t="s">
        <v>48</v>
      </c>
      <c r="B264" s="3" t="s">
        <v>0</v>
      </c>
      <c r="C264" s="3" t="s">
        <v>36</v>
      </c>
      <c r="D264" s="3" t="s">
        <v>8</v>
      </c>
      <c r="E264" s="5" t="s">
        <v>9</v>
      </c>
      <c r="F264" s="5" t="s">
        <v>10</v>
      </c>
      <c r="G264" s="14"/>
      <c r="H264" s="19"/>
      <c r="I264" s="13"/>
      <c r="J264" s="13"/>
      <c r="K264" s="13"/>
      <c r="L264" s="13"/>
      <c r="M264" s="14"/>
      <c r="N264" s="15" t="s">
        <v>8</v>
      </c>
      <c r="O264" s="15" t="s">
        <v>9</v>
      </c>
      <c r="P264" s="15" t="s">
        <v>10</v>
      </c>
    </row>
    <row r="265" spans="1:16" ht="15.75" thickTop="1" x14ac:dyDescent="0.25">
      <c r="A265" s="18">
        <v>43521</v>
      </c>
      <c r="B265" s="16">
        <f>IFERROR(VLOOKUP(A265,OverviewTable[],2,FALSE),"?")</f>
        <v>128.6</v>
      </c>
      <c r="C265" s="16" t="str">
        <f>((N270 * 4) + (O270 * 9) + (P270 * 4))&amp;"/"&amp;IFERROR(VLOOKUP(A265,OverviewTable[],11,FALSE),"?")</f>
        <v>2758.75/2307.6</v>
      </c>
      <c r="D265" s="16" t="str">
        <f>N270&amp;"/"&amp;IFERROR(VLOOKUP(A265,OverviewTable[],12,FALSE),"?")</f>
        <v>149.95/129</v>
      </c>
      <c r="E265" s="16" t="str">
        <f>O270&amp;"/"&amp;IFERROR(VLOOKUP(A265,OverviewTable[],13,FALSE),"?")</f>
        <v>110.15/64</v>
      </c>
      <c r="F265" s="16" t="str">
        <f>P270&amp;"/"&amp;IFERROR(VLOOKUP(A265,OverviewTable[],14,FALSE),"?")</f>
        <v>291.9/304</v>
      </c>
      <c r="G265" s="19"/>
      <c r="H265" s="19"/>
      <c r="I265" s="13"/>
      <c r="J265" s="13"/>
      <c r="K265" s="13"/>
      <c r="L265" s="13"/>
      <c r="M265" s="15" t="s">
        <v>6</v>
      </c>
      <c r="N265" s="15">
        <f>(A268 * IFERROR(VLOOKUP(B268,BreakfastTable[],2,FALSE),0)) + (A269 * IFERROR(VLOOKUP(B269,BreakfastTable[],2,FALSE),0)) + (A270 * IFERROR(VLOOKUP(B270,BreakfastTable[],2,FALSE),0)) + (A271 * IFERROR(VLOOKUP(B271,BreakfastTable[],2,FALSE),0))</f>
        <v>32.200000000000003</v>
      </c>
      <c r="O265" s="15">
        <f>(A268 * IFERROR(VLOOKUP(B268,BreakfastTable[],3,FALSE),0)) + (A269 * IFERROR(VLOOKUP(B269,BreakfastTable[],3,FALSE),0)) + (A270 * IFERROR(VLOOKUP(B270,BreakfastTable[],3,FALSE),0)) + (A271 * IFERROR(VLOOKUP(B271,BreakfastTable[],3,FALSE),0))</f>
        <v>14.9</v>
      </c>
      <c r="P265" s="15">
        <f>(A268 * IFERROR(VLOOKUP(B268,BreakfastTable[],4,FALSE),0)) + (A269 * IFERROR(VLOOKUP(B269,BreakfastTable[],4,FALSE),0)) + (A270 * IFERROR(VLOOKUP(B270,BreakfastTable[],4,FALSE),0)) + (A271 * IFERROR(VLOOKUP(B271,BreakfastTable[],4,FALSE),0))</f>
        <v>50.4</v>
      </c>
    </row>
    <row r="266" spans="1:16" x14ac:dyDescent="0.25">
      <c r="A266" s="17"/>
      <c r="B266" s="17"/>
      <c r="C266" s="17"/>
      <c r="D266" s="17"/>
      <c r="E266" s="17"/>
      <c r="F266" s="17"/>
      <c r="G266" s="19"/>
      <c r="H266" s="19"/>
      <c r="I266" s="13"/>
      <c r="J266" s="13"/>
      <c r="K266" s="13"/>
      <c r="L266" s="13"/>
      <c r="M266" s="15" t="s">
        <v>11</v>
      </c>
      <c r="N266" s="15">
        <f>(C268 * IFERROR(VLOOKUP(D268,LunchTable[],2,FALSE),0)) + (C269 * IFERROR(VLOOKUP(D269,LunchTable[],2,FALSE),0)) + (C270 * IFERROR(VLOOKUP(D270,LunchTable[],2,FALSE),0)) + (C271 * IFERROR(VLOOKUP(D271,LunchTable[],2,FALSE),0))</f>
        <v>48</v>
      </c>
      <c r="O266" s="15">
        <f>(C268 * IFERROR(VLOOKUP(D268,LunchTable[],3,FALSE),0)) + (C269 * IFERROR(VLOOKUP(D269,LunchTable[],3,FALSE),0)) + (C270 * IFERROR(VLOOKUP(D270,LunchTable[],3,FALSE),0)) + (C271 * IFERROR(VLOOKUP(D271,LunchTable[],3,FALSE),0))</f>
        <v>42</v>
      </c>
      <c r="P266" s="15">
        <f>(C268 * IFERROR(VLOOKUP(D268,LunchTable[],4,FALSE),0)) + (C269 * IFERROR(VLOOKUP(D269,LunchTable[],4,FALSE),0)) + (C270 * IFERROR(VLOOKUP(D270,LunchTable[],4,FALSE),0)) + (C271 * IFERROR(VLOOKUP(D271,LunchTable[],4,FALSE),0))</f>
        <v>134.5</v>
      </c>
    </row>
    <row r="267" spans="1:16" ht="18" thickBot="1" x14ac:dyDescent="0.35">
      <c r="A267" s="10" t="s">
        <v>34</v>
      </c>
      <c r="B267" s="11" t="s">
        <v>6</v>
      </c>
      <c r="C267" s="10" t="s">
        <v>34</v>
      </c>
      <c r="D267" s="11" t="s">
        <v>11</v>
      </c>
      <c r="E267" s="10" t="s">
        <v>34</v>
      </c>
      <c r="F267" s="11" t="s">
        <v>12</v>
      </c>
      <c r="G267" s="10" t="s">
        <v>34</v>
      </c>
      <c r="H267" s="12" t="s">
        <v>35</v>
      </c>
      <c r="I267" s="5" t="s">
        <v>41</v>
      </c>
      <c r="J267" s="5" t="s">
        <v>42</v>
      </c>
      <c r="K267" s="5" t="s">
        <v>43</v>
      </c>
      <c r="L267" s="13"/>
      <c r="M267" s="15" t="s">
        <v>12</v>
      </c>
      <c r="N267" s="15">
        <f>(E268 * IFERROR(VLOOKUP(F268,DinnerTable[],2,FALSE),0)) + (E269 * IFERROR(VLOOKUP(F269,DinnerTable[],2,FALSE),0)) + (E270 * IFERROR(VLOOKUP(F270,DinnerTable[],2,FALSE),0)) + (E271 * IFERROR(VLOOKUP(F271,DinnerTable[],2,FALSE),0))</f>
        <v>45.75</v>
      </c>
      <c r="O267" s="15">
        <f>(E268 * IFERROR(VLOOKUP(F268,DinnerTable[],3,FALSE),0)) + (E269 * IFERROR(VLOOKUP(F269,DinnerTable[],3,FALSE),0)) + (E270 * IFERROR(VLOOKUP(F270,DinnerTable[],3,FALSE),0)) + (E271 * IFERROR(VLOOKUP(F271,DinnerTable[],3,FALSE),0))</f>
        <v>32.25</v>
      </c>
      <c r="P267" s="15">
        <f>(E268 * IFERROR(VLOOKUP(F268,DinnerTable[],4,FALSE),0)) + (E269 * IFERROR(VLOOKUP(F269,DinnerTable[],4,FALSE),0)) + (E270 * IFERROR(VLOOKUP(F270,DinnerTable[],4,FALSE),0)) + (E271 * IFERROR(VLOOKUP(F271,DinnerTable[],4,FALSE),0))</f>
        <v>42</v>
      </c>
    </row>
    <row r="268" spans="1:16" ht="15.75" thickTop="1" x14ac:dyDescent="0.25">
      <c r="A268" s="17">
        <v>1</v>
      </c>
      <c r="B268" s="17" t="s">
        <v>96</v>
      </c>
      <c r="C268" s="17">
        <v>1</v>
      </c>
      <c r="D268" s="17" t="s">
        <v>89</v>
      </c>
      <c r="E268" s="17">
        <v>0.75</v>
      </c>
      <c r="F268" s="17" t="s">
        <v>50</v>
      </c>
      <c r="G268" s="17">
        <v>1</v>
      </c>
      <c r="H268" s="17" t="s">
        <v>87</v>
      </c>
      <c r="I268" s="2">
        <v>4</v>
      </c>
      <c r="J268" s="2">
        <v>13</v>
      </c>
      <c r="K268" s="2">
        <v>35</v>
      </c>
      <c r="L268" s="13"/>
      <c r="M268" s="15" t="s">
        <v>35</v>
      </c>
      <c r="N268" s="15">
        <f>(G268 * IFERROR(VLOOKUP(H268,PostWorkoutTable[],2,FALSE),0)) + (G269 * IFERROR(VLOOKUP(H269,PostWorkoutTable[],2,FALSE),0)) + (G270 * IFERROR(VLOOKUP(H270,PostWorkoutTable[],2,FALSE),0)) + (G271 * IFERROR(VLOOKUP(H271,PostWorkoutTable[],2,FALSE),0))</f>
        <v>20</v>
      </c>
      <c r="O268" s="15">
        <f>(G268 * IFERROR(VLOOKUP(H268,PostWorkoutTable[],3,FALSE),0)) + (G269 * IFERROR(VLOOKUP(H269,PostWorkoutTable[],3,FALSE),0)) + (G270 * IFERROR(VLOOKUP(H270,PostWorkoutTable[],3,FALSE),0)) + (G271 * IFERROR(VLOOKUP(H271,PostWorkoutTable[],3,FALSE),0))</f>
        <v>8</v>
      </c>
      <c r="P268" s="15">
        <f>(G268 * IFERROR(VLOOKUP(H268,PostWorkoutTable[],4,FALSE),0)) + (G269 * IFERROR(VLOOKUP(H269,PostWorkoutTable[],4,FALSE),0)) + (G270 * IFERROR(VLOOKUP(H270,PostWorkoutTable[],4,FALSE),0)) + (G271 * IFERROR(VLOOKUP(H271,PostWorkoutTable[],4,FALSE),0))</f>
        <v>30</v>
      </c>
    </row>
    <row r="269" spans="1:16" x14ac:dyDescent="0.25">
      <c r="A269" s="17"/>
      <c r="B269" s="17"/>
      <c r="C269" s="17">
        <v>1</v>
      </c>
      <c r="D269" s="17" t="s">
        <v>25</v>
      </c>
      <c r="E269" s="17">
        <v>1.5</v>
      </c>
      <c r="F269" s="17" t="s">
        <v>65</v>
      </c>
      <c r="G269" s="17"/>
      <c r="H269" s="17"/>
      <c r="I269" s="2"/>
      <c r="J269" s="2"/>
      <c r="K269" s="2"/>
      <c r="L269" s="13"/>
      <c r="M269" s="15" t="s">
        <v>21</v>
      </c>
      <c r="N269" s="15">
        <f xml:space="preserve"> SUM(I268:I271)</f>
        <v>4</v>
      </c>
      <c r="O269" s="15">
        <f>SUM(J268:J271)</f>
        <v>13</v>
      </c>
      <c r="P269" s="15">
        <f>SUM(K268:K271)</f>
        <v>35</v>
      </c>
    </row>
    <row r="270" spans="1:16" x14ac:dyDescent="0.25">
      <c r="A270" s="17"/>
      <c r="B270" s="17"/>
      <c r="C270" s="17">
        <v>1</v>
      </c>
      <c r="D270" s="17" t="s">
        <v>88</v>
      </c>
      <c r="E270" s="17">
        <v>1.5</v>
      </c>
      <c r="F270" s="17" t="s">
        <v>66</v>
      </c>
      <c r="G270" s="17"/>
      <c r="H270" s="17"/>
      <c r="I270" s="2"/>
      <c r="J270" s="2"/>
      <c r="K270" s="2"/>
      <c r="L270" s="13"/>
      <c r="M270" s="15" t="s">
        <v>38</v>
      </c>
      <c r="N270" s="15">
        <f>SUM(N265:N269)</f>
        <v>149.94999999999999</v>
      </c>
      <c r="O270" s="15">
        <f>SUM(O265:O269)</f>
        <v>110.15</v>
      </c>
      <c r="P270" s="15">
        <f>SUM(P265:P269)</f>
        <v>291.89999999999998</v>
      </c>
    </row>
    <row r="271" spans="1:16" x14ac:dyDescent="0.25">
      <c r="A271" s="17"/>
      <c r="B271" s="17"/>
      <c r="C271" s="17"/>
      <c r="D271" s="17"/>
      <c r="E271" s="17"/>
      <c r="F271" s="17"/>
      <c r="G271" s="17"/>
      <c r="H271" s="17"/>
      <c r="I271" s="2"/>
      <c r="J271" s="2"/>
      <c r="K271" s="2"/>
      <c r="L271" s="13"/>
      <c r="M271" s="13"/>
      <c r="N271" s="13"/>
      <c r="O271" s="13"/>
      <c r="P271" s="13"/>
    </row>
    <row r="272" spans="1:16" x14ac:dyDescent="0.25">
      <c r="A272" s="13"/>
      <c r="B272" s="13"/>
      <c r="C272" s="13"/>
      <c r="D272" s="13"/>
      <c r="E272" s="13"/>
      <c r="F272" s="13"/>
      <c r="G272" s="13"/>
      <c r="H272" s="13"/>
      <c r="I272" s="13"/>
      <c r="J272" s="13"/>
      <c r="K272" s="13"/>
      <c r="L272" s="13"/>
      <c r="M272" s="13"/>
      <c r="N272" s="13"/>
      <c r="O272" s="13"/>
      <c r="P272" s="13"/>
    </row>
    <row r="273" spans="1:16" ht="23.25" x14ac:dyDescent="0.35">
      <c r="A273" s="21">
        <v>43524</v>
      </c>
      <c r="B273" s="13"/>
      <c r="C273" s="13"/>
      <c r="D273" s="13"/>
      <c r="E273" s="13"/>
      <c r="F273" s="13"/>
      <c r="G273" s="13"/>
      <c r="H273" s="13"/>
      <c r="I273" s="13"/>
      <c r="J273" s="13"/>
      <c r="K273" s="13"/>
      <c r="L273" s="13"/>
      <c r="M273" s="13"/>
      <c r="N273" s="13"/>
      <c r="O273" s="13"/>
      <c r="P273" s="13"/>
    </row>
    <row r="274" spans="1:16" ht="18" thickBot="1" x14ac:dyDescent="0.35">
      <c r="A274" s="3" t="s">
        <v>48</v>
      </c>
      <c r="B274" s="3" t="s">
        <v>0</v>
      </c>
      <c r="C274" s="3" t="s">
        <v>36</v>
      </c>
      <c r="D274" s="3" t="s">
        <v>8</v>
      </c>
      <c r="E274" s="5" t="s">
        <v>9</v>
      </c>
      <c r="F274" s="5" t="s">
        <v>10</v>
      </c>
      <c r="G274" s="14"/>
      <c r="H274" s="19"/>
      <c r="I274" s="13"/>
      <c r="J274" s="13"/>
      <c r="K274" s="13"/>
      <c r="L274" s="13"/>
      <c r="M274" s="14"/>
      <c r="N274" s="15" t="s">
        <v>8</v>
      </c>
      <c r="O274" s="15" t="s">
        <v>9</v>
      </c>
      <c r="P274" s="15" t="s">
        <v>10</v>
      </c>
    </row>
    <row r="275" spans="1:16" ht="15.75" thickTop="1" x14ac:dyDescent="0.25">
      <c r="A275" s="18">
        <v>43521</v>
      </c>
      <c r="B275" s="16">
        <f>IFERROR(VLOOKUP(A275,OverviewTable[],2,FALSE),"?")</f>
        <v>128.6</v>
      </c>
      <c r="C275" s="16" t="str">
        <f>((N280 * 4) + (O280 * 9) + (P280 * 4))&amp;"/"&amp;IFERROR(VLOOKUP(A275,OverviewTable[],11,FALSE),"?")</f>
        <v>1583.25/2307.6</v>
      </c>
      <c r="D275" s="16" t="str">
        <f>N280&amp;"/"&amp;IFERROR(VLOOKUP(A275,OverviewTable[],12,FALSE),"?")</f>
        <v>99.75/129</v>
      </c>
      <c r="E275" s="16" t="str">
        <f>O280&amp;"/"&amp;IFERROR(VLOOKUP(A275,OverviewTable[],13,FALSE),"?")</f>
        <v>70.25/64</v>
      </c>
      <c r="F275" s="16" t="str">
        <f>P280&amp;"/"&amp;IFERROR(VLOOKUP(A275,OverviewTable[],14,FALSE),"?")</f>
        <v>138/304</v>
      </c>
      <c r="G275" s="19"/>
      <c r="H275" s="19"/>
      <c r="I275" s="13"/>
      <c r="J275" s="13"/>
      <c r="K275" s="13"/>
      <c r="L275" s="13"/>
      <c r="M275" s="15" t="s">
        <v>6</v>
      </c>
      <c r="N275" s="15">
        <f>(A278 * IFERROR(VLOOKUP(B278,BreakfastTable[],2,FALSE),0)) + (A279 * IFERROR(VLOOKUP(B279,BreakfastTable[],2,FALSE),0)) + (A280 * IFERROR(VLOOKUP(B280,BreakfastTable[],2,FALSE),0)) + (A281 * IFERROR(VLOOKUP(B281,BreakfastTable[],2,FALSE),0))</f>
        <v>20</v>
      </c>
      <c r="O275" s="15">
        <f>(A278 * IFERROR(VLOOKUP(B278,BreakfastTable[],3,FALSE),0)) + (A279 * IFERROR(VLOOKUP(B279,BreakfastTable[],3,FALSE),0)) + (A280 * IFERROR(VLOOKUP(B280,BreakfastTable[],3,FALSE),0)) + (A281 * IFERROR(VLOOKUP(B281,BreakfastTable[],3,FALSE),0))</f>
        <v>8</v>
      </c>
      <c r="P275" s="15">
        <f>(A278 * IFERROR(VLOOKUP(B278,BreakfastTable[],4,FALSE),0)) + (A279 * IFERROR(VLOOKUP(B279,BreakfastTable[],4,FALSE),0)) + (A280 * IFERROR(VLOOKUP(B280,BreakfastTable[],4,FALSE),0)) + (A281 * IFERROR(VLOOKUP(B281,BreakfastTable[],4,FALSE),0))</f>
        <v>30</v>
      </c>
    </row>
    <row r="276" spans="1:16" x14ac:dyDescent="0.25">
      <c r="A276" s="17"/>
      <c r="B276" s="17"/>
      <c r="C276" s="17"/>
      <c r="D276" s="17"/>
      <c r="E276" s="17"/>
      <c r="F276" s="17"/>
      <c r="G276" s="19"/>
      <c r="H276" s="19"/>
      <c r="I276" s="13"/>
      <c r="J276" s="13"/>
      <c r="K276" s="13"/>
      <c r="L276" s="13"/>
      <c r="M276" s="15" t="s">
        <v>11</v>
      </c>
      <c r="N276" s="15">
        <f>(C278 * IFERROR(VLOOKUP(D278,LunchTable[],2,FALSE),0)) + (C279 * IFERROR(VLOOKUP(D279,LunchTable[],2,FALSE),0)) + (C280 * IFERROR(VLOOKUP(D280,LunchTable[],2,FALSE),0)) + (C281 * IFERROR(VLOOKUP(D281,LunchTable[],2,FALSE),0))</f>
        <v>0</v>
      </c>
      <c r="O276" s="15">
        <f>(C278 * IFERROR(VLOOKUP(D278,LunchTable[],3,FALSE),0)) + (C279 * IFERROR(VLOOKUP(D279,LunchTable[],3,FALSE),0)) + (C280 * IFERROR(VLOOKUP(D280,LunchTable[],3,FALSE),0)) + (C281 * IFERROR(VLOOKUP(D281,LunchTable[],3,FALSE),0))</f>
        <v>0</v>
      </c>
      <c r="P276" s="15">
        <f>(C278 * IFERROR(VLOOKUP(D278,LunchTable[],4,FALSE),0)) + (C279 * IFERROR(VLOOKUP(D279,LunchTable[],4,FALSE),0)) + (C280 * IFERROR(VLOOKUP(D280,LunchTable[],4,FALSE),0)) + (C281 * IFERROR(VLOOKUP(D281,LunchTable[],4,FALSE),0))</f>
        <v>0</v>
      </c>
    </row>
    <row r="277" spans="1:16" ht="18" thickBot="1" x14ac:dyDescent="0.35">
      <c r="A277" s="10" t="s">
        <v>34</v>
      </c>
      <c r="B277" s="11" t="s">
        <v>6</v>
      </c>
      <c r="C277" s="10" t="s">
        <v>34</v>
      </c>
      <c r="D277" s="11" t="s">
        <v>11</v>
      </c>
      <c r="E277" s="10" t="s">
        <v>34</v>
      </c>
      <c r="F277" s="11" t="s">
        <v>12</v>
      </c>
      <c r="G277" s="10" t="s">
        <v>34</v>
      </c>
      <c r="H277" s="12" t="s">
        <v>35</v>
      </c>
      <c r="I277" s="5" t="s">
        <v>41</v>
      </c>
      <c r="J277" s="5" t="s">
        <v>42</v>
      </c>
      <c r="K277" s="5" t="s">
        <v>43</v>
      </c>
      <c r="L277" s="13"/>
      <c r="M277" s="15" t="s">
        <v>12</v>
      </c>
      <c r="N277" s="15">
        <f>(E278 * IFERROR(VLOOKUP(F278,DinnerTable[],2,FALSE),0)) + (E279 * IFERROR(VLOOKUP(F279,DinnerTable[],2,FALSE),0)) + (E280 * IFERROR(VLOOKUP(F280,DinnerTable[],2,FALSE),0)) + (E281 * IFERROR(VLOOKUP(F281,DinnerTable[],2,FALSE),0))</f>
        <v>45.75</v>
      </c>
      <c r="O277" s="15">
        <f>(E278 * IFERROR(VLOOKUP(F278,DinnerTable[],3,FALSE),0)) + (E279 * IFERROR(VLOOKUP(F279,DinnerTable[],3,FALSE),0)) + (E280 * IFERROR(VLOOKUP(F280,DinnerTable[],3,FALSE),0)) + (E281 * IFERROR(VLOOKUP(F281,DinnerTable[],3,FALSE),0))</f>
        <v>32.25</v>
      </c>
      <c r="P277" s="15">
        <f>(E278 * IFERROR(VLOOKUP(F278,DinnerTable[],4,FALSE),0)) + (E279 * IFERROR(VLOOKUP(F279,DinnerTable[],4,FALSE),0)) + (E280 * IFERROR(VLOOKUP(F280,DinnerTable[],4,FALSE),0)) + (E281 * IFERROR(VLOOKUP(F281,DinnerTable[],4,FALSE),0))</f>
        <v>42</v>
      </c>
    </row>
    <row r="278" spans="1:16" ht="15.75" thickTop="1" x14ac:dyDescent="0.25">
      <c r="A278" s="17">
        <v>1</v>
      </c>
      <c r="B278" s="17" t="s">
        <v>87</v>
      </c>
      <c r="C278" s="17"/>
      <c r="D278" s="17"/>
      <c r="E278" s="17">
        <v>0.75</v>
      </c>
      <c r="F278" s="17" t="s">
        <v>50</v>
      </c>
      <c r="G278" s="17"/>
      <c r="H278" s="17"/>
      <c r="I278" s="2">
        <v>34</v>
      </c>
      <c r="J278" s="2">
        <v>30</v>
      </c>
      <c r="K278" s="2">
        <v>66</v>
      </c>
      <c r="L278" s="13"/>
      <c r="M278" s="15" t="s">
        <v>35</v>
      </c>
      <c r="N278" s="15">
        <f>(G278 * IFERROR(VLOOKUP(H278,PostWorkoutTable[],2,FALSE),0)) + (G279 * IFERROR(VLOOKUP(H279,PostWorkoutTable[],2,FALSE),0)) + (G280 * IFERROR(VLOOKUP(H280,PostWorkoutTable[],2,FALSE),0)) + (G281 * IFERROR(VLOOKUP(H281,PostWorkoutTable[],2,FALSE),0))</f>
        <v>0</v>
      </c>
      <c r="O278" s="15">
        <f>(G278 * IFERROR(VLOOKUP(H278,PostWorkoutTable[],3,FALSE),0)) + (G279 * IFERROR(VLOOKUP(H279,PostWorkoutTable[],3,FALSE),0)) + (G280 * IFERROR(VLOOKUP(H280,PostWorkoutTable[],3,FALSE),0)) + (G281 * IFERROR(VLOOKUP(H281,PostWorkoutTable[],3,FALSE),0))</f>
        <v>0</v>
      </c>
      <c r="P278" s="15">
        <f>(G278 * IFERROR(VLOOKUP(H278,PostWorkoutTable[],4,FALSE),0)) + (G279 * IFERROR(VLOOKUP(H279,PostWorkoutTable[],4,FALSE),0)) + (G280 * IFERROR(VLOOKUP(H280,PostWorkoutTable[],4,FALSE),0)) + (G281 * IFERROR(VLOOKUP(H281,PostWorkoutTable[],4,FALSE),0))</f>
        <v>0</v>
      </c>
    </row>
    <row r="279" spans="1:16" x14ac:dyDescent="0.25">
      <c r="A279" s="17"/>
      <c r="B279" s="17"/>
      <c r="C279" s="17"/>
      <c r="D279" s="17"/>
      <c r="E279" s="17">
        <v>1.5</v>
      </c>
      <c r="F279" s="17" t="s">
        <v>65</v>
      </c>
      <c r="G279" s="17"/>
      <c r="H279" s="17"/>
      <c r="I279" s="2"/>
      <c r="J279" s="2"/>
      <c r="K279" s="2"/>
      <c r="L279" s="13"/>
      <c r="M279" s="15" t="s">
        <v>21</v>
      </c>
      <c r="N279" s="15">
        <f xml:space="preserve"> SUM(I278:I281)</f>
        <v>34</v>
      </c>
      <c r="O279" s="15">
        <f>SUM(J278:J281)</f>
        <v>30</v>
      </c>
      <c r="P279" s="15">
        <f>SUM(K278:K281)</f>
        <v>66</v>
      </c>
    </row>
    <row r="280" spans="1:16" x14ac:dyDescent="0.25">
      <c r="A280" s="17"/>
      <c r="B280" s="17"/>
      <c r="C280" s="17"/>
      <c r="D280" s="17"/>
      <c r="E280" s="17">
        <v>1.5</v>
      </c>
      <c r="F280" s="17" t="s">
        <v>66</v>
      </c>
      <c r="G280" s="17"/>
      <c r="H280" s="17"/>
      <c r="I280" s="2"/>
      <c r="J280" s="2"/>
      <c r="K280" s="2"/>
      <c r="L280" s="13"/>
      <c r="M280" s="15" t="s">
        <v>38</v>
      </c>
      <c r="N280" s="15">
        <f>SUM(N275:N279)</f>
        <v>99.75</v>
      </c>
      <c r="O280" s="15">
        <f>SUM(O275:O279)</f>
        <v>70.25</v>
      </c>
      <c r="P280" s="15">
        <f>SUM(P275:P279)</f>
        <v>138</v>
      </c>
    </row>
    <row r="281" spans="1:16" x14ac:dyDescent="0.25">
      <c r="A281" s="17"/>
      <c r="B281" s="17"/>
      <c r="C281" s="17"/>
      <c r="D281" s="17"/>
      <c r="E281" s="17"/>
      <c r="F281" s="17"/>
      <c r="G281" s="17"/>
      <c r="H281" s="17"/>
      <c r="I281" s="2"/>
      <c r="J281" s="2"/>
      <c r="K281" s="2"/>
      <c r="L281" s="13"/>
      <c r="M281" s="13"/>
      <c r="N281" s="13"/>
      <c r="O281" s="13"/>
      <c r="P281" s="13"/>
    </row>
    <row r="1048576" spans="1:3" x14ac:dyDescent="0.25">
      <c r="A1048576">
        <f>SUM(A8:A1048575)</f>
        <v>2349548</v>
      </c>
      <c r="C1048576">
        <f>SUM(C1:C1048575)</f>
        <v>59.149999999999991</v>
      </c>
    </row>
  </sheetData>
  <dataValidations count="6">
    <dataValidation type="list" allowBlank="1" showInputMessage="1" showErrorMessage="1" sqref="A35 A15 A25 A5 A45 A55 A65 A75 A85 A95 A105 A115 A125 A135 A145 A155 A165 A175 A185 A195 A205 A215 A225 A235 A245 A255 A265 A275" xr:uid="{841BD5F9-5062-448A-B98B-3333890A214F}">
      <formula1 xml:space="preserve"> OverviewWeekRange</formula1>
    </dataValidation>
    <dataValidation type="list" allowBlank="1" showInputMessage="1" showErrorMessage="1" sqref="B8:B11 B18:B21 B28:B31 B38:B41 B48:B51 B58:B61 B68:B71 B78:B81 B88:B91 B98:B101 B108:B111 B118:B121 B128:B131 B138:B141 B148:B151 B158:B161 B168:B171 B178:B181 B188:B191 B198:B201 B208:B211 B218:B221 B228:B231 B238:B241 B248:B251 B258:B261 B268:B271 B278:B281" xr:uid="{E1F91793-A6CA-43C9-8971-779A610550B5}">
      <formula1>BreakfastMealRange</formula1>
    </dataValidation>
    <dataValidation type="list" allowBlank="1" showInputMessage="1" showErrorMessage="1" sqref="D8:D11 D18:D21 D28:D31 D38:D41 D48:D51 D58:D61 D68:D71 D278:D281 D88:D91 D98:D101 D108:D111 D118:D121 D128:D131 D138:D141 D148:D151 D158:D161 D168:D171 D178:D181 D188:D191 D198:D201 D208:D211 D218:D221 D228:D231 D238:D241 D248:D251 D258:D261 D268:D271 D78:D81" xr:uid="{1D976928-3A9D-44FF-B6F3-09F50440C17B}">
      <formula1>LunchMealRange</formula1>
    </dataValidation>
    <dataValidation type="list" allowBlank="1" showInputMessage="1" showErrorMessage="1" sqref="F8:F11 F18:F21 F28:F31 F38:F41 F48:F51 F58:F61 F68:F71 F78:F81 F88:F91 F98:F101 F108:F111 F118:F121 F128:F131 F138:F141 F148:F151 F158:F161 F168:F171 F178:F181 F188:F191 F198:F201 F208:F211 F218:F221 F228:F231 F238:F241 F248:F251 F258:F261 F268:F271 F278:F281" xr:uid="{D96D62E0-61A7-423C-B2C5-E14A056101CC}">
      <formula1>DinnerMealRange</formula1>
    </dataValidation>
    <dataValidation type="list" allowBlank="1" showInputMessage="1" showErrorMessage="1" sqref="H8:H11 H18:H21 H28:H31 H38:H41 H48:H51 H58:H61 H68:H71 H78:H81 H88:H91 H98:H101 H108:H111 H118:H121 H128:H131 H138:H141 H148:H151 H158:H161 H168:H171 H178:H181 H188:H191 H198:H201 H208:H211 H218:H221 H228:H231 H238:H241 H248:H251 H258:H261 H268:H271 H278:H281" xr:uid="{AE6D4CE8-85CE-4427-9B44-421058C7E360}">
      <formula1>PostWorkoutMealRange</formula1>
    </dataValidation>
    <dataValidation type="list" allowBlank="1" showInputMessage="1" showErrorMessage="1" sqref="C18:C21 C8:C11 E8:E11 G8:G11 E18:E21 G18:G21 A18:A21 A8:A11 C28:C31 E28:E31 G28:G31 A28:A31 C38:C41 E38:E41 G38:G41 A38:A41 C48:C51 E48:E51 G48:G51 A48:A51 C58:C61 E58:E61 G58:G61 A58:A61 C68:C71 A278:A281 G68:G71 A68:A71 E68:E71 E78:E81 G78:G81 A78:A81 C88:C91 E88:E91 G88:G91 A88:A91 C98:C101 E98:E101 G98:G101 A98:A101 C108:C111 E108:E111 G108:G111 A108:A111 C118:C121 E118:E121 G118:G121 A118:A121 C128:C131 E128:E131 G128:G131 A128:A131 C138:C141 E138:E141 G138:G141 A138:A141 C148:C151 E148:E151 G148:G151 A148:A151 C158:C161 E158:E161 G158:G161 A158:A161 C168:C171 E168:E171 G168:G171 A168:A171 C178:C181 E178:E181 G178:G181 A178:A181 C188:C191 E188:E191 G188:G191 A188:A191 C198:C201 E198:E201 G198:G201 A198:A201 C208:C211 E208:E211 G208:G211 A208:A211 C218:C221 E218:E221 G218:G221 A218:A221 C228:C231 E228:E231 G228:G231 A228:A231 C238:C241 E238:E241 G238:G241 A238:A241 C248:C251 E248:E251 G248:G251 A248:A251 C258:C261 E258:E261 G258:G261 A258:A261 C268:C271 E268:E271 G268:G271 A268:A271 C278:C281 C78:C81 G278:G281 E278:E281" xr:uid="{B63CED04-D14F-44EC-9637-E6312AC6AF09}">
      <formula1 xml:space="preserve"> AmountRange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5AE2-7026-463B-91D9-59FC8082A996}">
  <sheetPr codeName="Sheet8"/>
  <dimension ref="A1:P1048576"/>
  <sheetViews>
    <sheetView topLeftCell="A226" zoomScaleNormal="100" workbookViewId="0">
      <selection activeCell="E248" sqref="E248:F251"/>
    </sheetView>
  </sheetViews>
  <sheetFormatPr defaultRowHeight="15" x14ac:dyDescent="0.25"/>
  <cols>
    <col min="1" max="8" width="25.7109375" customWidth="1"/>
    <col min="9" max="11" width="18.7109375" customWidth="1"/>
    <col min="12" max="12" width="9.140625" customWidth="1"/>
    <col min="13" max="13" width="13.5703125" customWidth="1"/>
    <col min="14" max="14" width="10.7109375" customWidth="1"/>
    <col min="15" max="15" width="9.7109375" customWidth="1"/>
  </cols>
  <sheetData>
    <row r="1" spans="1:16" ht="23.25" x14ac:dyDescent="0.35">
      <c r="A1" s="50" t="s">
        <v>106</v>
      </c>
      <c r="B1" s="50"/>
      <c r="C1" s="50"/>
      <c r="D1" s="50"/>
      <c r="E1" s="50"/>
      <c r="F1" s="45"/>
      <c r="G1" s="45"/>
      <c r="H1" s="45"/>
      <c r="I1" s="45"/>
      <c r="J1" s="45"/>
      <c r="K1" s="45"/>
      <c r="L1" s="45"/>
      <c r="M1" s="45"/>
      <c r="N1" s="45"/>
      <c r="O1" s="45"/>
      <c r="P1" s="45"/>
    </row>
    <row r="2" spans="1:16" ht="23.25" x14ac:dyDescent="0.35">
      <c r="A2" s="50"/>
      <c r="B2" s="50"/>
      <c r="C2" s="50"/>
      <c r="D2" s="50"/>
      <c r="E2" s="50"/>
      <c r="F2" s="45"/>
      <c r="G2" s="45"/>
      <c r="H2" s="45"/>
      <c r="I2" s="45"/>
      <c r="J2" s="45"/>
      <c r="K2" s="45"/>
      <c r="L2" s="45"/>
      <c r="M2" s="45"/>
      <c r="N2" s="45"/>
      <c r="O2" s="45"/>
      <c r="P2" s="45"/>
    </row>
    <row r="3" spans="1:16" ht="23.25" x14ac:dyDescent="0.35">
      <c r="A3" s="49">
        <v>43525</v>
      </c>
      <c r="B3" s="50"/>
      <c r="C3" s="50"/>
      <c r="D3" s="50"/>
      <c r="E3" s="50"/>
      <c r="F3" s="45"/>
      <c r="G3" s="45"/>
      <c r="H3" s="45"/>
      <c r="I3" s="45"/>
      <c r="J3" s="45"/>
      <c r="K3" s="45"/>
      <c r="L3" s="45"/>
      <c r="M3" s="45"/>
      <c r="N3" s="45"/>
      <c r="O3" s="45"/>
      <c r="P3" s="45"/>
    </row>
    <row r="4" spans="1:16" ht="18" thickBot="1" x14ac:dyDescent="0.35">
      <c r="A4" s="3" t="s">
        <v>48</v>
      </c>
      <c r="B4" s="3" t="s">
        <v>0</v>
      </c>
      <c r="C4" s="3" t="s">
        <v>36</v>
      </c>
      <c r="D4" s="3" t="s">
        <v>8</v>
      </c>
      <c r="E4" s="5" t="s">
        <v>9</v>
      </c>
      <c r="F4" s="5" t="s">
        <v>10</v>
      </c>
      <c r="G4" s="46"/>
      <c r="H4" s="47"/>
      <c r="I4" s="45"/>
      <c r="J4" s="45"/>
      <c r="K4" s="45"/>
      <c r="L4" s="45"/>
      <c r="M4" s="46"/>
      <c r="N4" s="48" t="s">
        <v>8</v>
      </c>
      <c r="O4" s="48" t="s">
        <v>9</v>
      </c>
      <c r="P4" s="48" t="s">
        <v>10</v>
      </c>
    </row>
    <row r="5" spans="1:16" ht="15.75" thickTop="1" x14ac:dyDescent="0.25">
      <c r="A5" s="18">
        <v>43521</v>
      </c>
      <c r="B5" s="16">
        <f>IFERROR(VLOOKUP(A5,OverviewTable[],2,FALSE),"?")</f>
        <v>128.6</v>
      </c>
      <c r="C5" s="16" t="str">
        <f>((N10 * 4) + (O10 * 9) + (P10 * 4))&amp;"/"&amp;IFERROR(VLOOKUP(A5,OverviewTable[],11,FALSE),"?")</f>
        <v>1681.2/2307.6</v>
      </c>
      <c r="D5" s="16" t="str">
        <f>N10&amp;"/"&amp;IFERROR(VLOOKUP(A5,OverviewTable[],12,FALSE),"?")</f>
        <v>86.2/129</v>
      </c>
      <c r="E5" s="16" t="str">
        <f>O10&amp;"/"&amp;IFERROR(VLOOKUP(A5,OverviewTable[],13,FALSE),"?")</f>
        <v>65.2/64</v>
      </c>
      <c r="F5" s="16" t="str">
        <f>P10&amp;"/"&amp;IFERROR(VLOOKUP(A5,OverviewTable[],14,FALSE),"?")</f>
        <v>187.4/304</v>
      </c>
      <c r="G5" s="47"/>
      <c r="H5" s="47"/>
      <c r="I5" s="45"/>
      <c r="J5" s="45"/>
      <c r="K5" s="45"/>
      <c r="L5" s="45"/>
      <c r="M5" s="48" t="s">
        <v>6</v>
      </c>
      <c r="N5" s="48">
        <f>(A8 * IFERROR(VLOOKUP(B8,BreakfastTable[],2,FALSE),0)) + (A9 * IFERROR(VLOOKUP(B9,BreakfastTable[],2,FALSE),0)) + (A10 * IFERROR(VLOOKUP(B10,BreakfastTable[],2,FALSE),0)) + (A11 * IFERROR(VLOOKUP(B11,BreakfastTable[],2,FALSE),0))</f>
        <v>32.200000000000003</v>
      </c>
      <c r="O5" s="48">
        <f>(A8 * IFERROR(VLOOKUP(B8,BreakfastTable[],3,FALSE),0)) + (A9 * IFERROR(VLOOKUP(B9,BreakfastTable[],3,FALSE),0)) + (A10 * IFERROR(VLOOKUP(B10,BreakfastTable[],3,FALSE),0)) + (A11 * IFERROR(VLOOKUP(B11,BreakfastTable[],3,FALSE),0))</f>
        <v>14.7</v>
      </c>
      <c r="P5" s="48">
        <f>(A8 * IFERROR(VLOOKUP(B8,BreakfastTable[],4,FALSE),0)) + (A9 * IFERROR(VLOOKUP(B9,BreakfastTable[],4,FALSE),0)) + (A10 * IFERROR(VLOOKUP(B10,BreakfastTable[],4,FALSE),0)) + (A11 * IFERROR(VLOOKUP(B11,BreakfastTable[],4,FALSE),0))</f>
        <v>55.4</v>
      </c>
    </row>
    <row r="6" spans="1:16" x14ac:dyDescent="0.25">
      <c r="A6" s="17"/>
      <c r="B6" s="17"/>
      <c r="C6" s="17"/>
      <c r="D6" s="17"/>
      <c r="E6" s="17"/>
      <c r="F6" s="17"/>
      <c r="G6" s="47"/>
      <c r="H6" s="47"/>
      <c r="I6" s="45"/>
      <c r="J6" s="45"/>
      <c r="K6" s="45"/>
      <c r="L6" s="45"/>
      <c r="M6" s="48" t="s">
        <v>11</v>
      </c>
      <c r="N6" s="48">
        <f>(C8 * IFERROR(VLOOKUP(D8,LunchTable[],2,FALSE),0)) + (C9 * IFERROR(VLOOKUP(D9,LunchTable[],2,FALSE),0)) + (C10 * IFERROR(VLOOKUP(D10,LunchTable[],2,FALSE),0)) + (C11 * IFERROR(VLOOKUP(D11,LunchTable[],2,FALSE),0))</f>
        <v>0</v>
      </c>
      <c r="O6" s="48">
        <f>(C8 * IFERROR(VLOOKUP(D8,LunchTable[],3,FALSE),0)) + (C9 * IFERROR(VLOOKUP(D9,LunchTable[],3,FALSE),0)) + (C10 * IFERROR(VLOOKUP(D10,LunchTable[],3,FALSE),0)) + (C11 * IFERROR(VLOOKUP(D11,LunchTable[],3,FALSE),0))</f>
        <v>0</v>
      </c>
      <c r="P6" s="48">
        <f>(C8 * IFERROR(VLOOKUP(D8,LunchTable[],4,FALSE),0)) + (C9 * IFERROR(VLOOKUP(D9,LunchTable[],4,FALSE),0)) + (C10 * IFERROR(VLOOKUP(D10,LunchTable[],4,FALSE),0)) + (C11 * IFERROR(VLOOKUP(D11,LunchTable[],4,FALSE),0))</f>
        <v>0</v>
      </c>
    </row>
    <row r="7" spans="1:16" ht="18" thickBot="1" x14ac:dyDescent="0.35">
      <c r="A7" s="10" t="s">
        <v>34</v>
      </c>
      <c r="B7" s="11" t="s">
        <v>6</v>
      </c>
      <c r="C7" s="10" t="s">
        <v>34</v>
      </c>
      <c r="D7" s="11" t="s">
        <v>11</v>
      </c>
      <c r="E7" s="10" t="s">
        <v>34</v>
      </c>
      <c r="F7" s="11" t="s">
        <v>12</v>
      </c>
      <c r="G7" s="10" t="s">
        <v>34</v>
      </c>
      <c r="H7" s="12" t="s">
        <v>35</v>
      </c>
      <c r="I7" s="5" t="s">
        <v>41</v>
      </c>
      <c r="J7" s="5" t="s">
        <v>42</v>
      </c>
      <c r="K7" s="5" t="s">
        <v>43</v>
      </c>
      <c r="L7" s="45"/>
      <c r="M7" s="48" t="s">
        <v>12</v>
      </c>
      <c r="N7" s="48">
        <f>(E8 * IFERROR(VLOOKUP(F8,DinnerTable[],2,FALSE),0)) + (E9 * IFERROR(VLOOKUP(F9,DinnerTable[],2,FALSE),0)) + (E10 * IFERROR(VLOOKUP(F10,DinnerTable[],2,FALSE),0)) + (E11 * IFERROR(VLOOKUP(F11,DinnerTable[],2,FALSE),0))</f>
        <v>0</v>
      </c>
      <c r="O7" s="48">
        <f>(E8 * IFERROR(VLOOKUP(F8,DinnerTable[],3,FALSE),0)) + (E9 * IFERROR(VLOOKUP(F9,DinnerTable[],3,FALSE),0)) + (E10 * IFERROR(VLOOKUP(F10,DinnerTable[],3,FALSE),0)) + (E11 * IFERROR(VLOOKUP(F11,DinnerTable[],3,FALSE),0))</f>
        <v>0</v>
      </c>
      <c r="P7" s="48">
        <f>(E8 * IFERROR(VLOOKUP(F8,DinnerTable[],4,FALSE),0)) + (E9 * IFERROR(VLOOKUP(F9,DinnerTable[],4,FALSE),0)) + (E10 * IFERROR(VLOOKUP(F10,DinnerTable[],4,FALSE),0)) + (E11 * IFERROR(VLOOKUP(F11,DinnerTable[],4,FALSE),0))</f>
        <v>0</v>
      </c>
    </row>
    <row r="8" spans="1:16" ht="15.75" thickTop="1" x14ac:dyDescent="0.25">
      <c r="A8" s="17">
        <v>1</v>
      </c>
      <c r="B8" s="17" t="s">
        <v>97</v>
      </c>
      <c r="C8" s="17"/>
      <c r="D8" s="17"/>
      <c r="E8" s="17"/>
      <c r="F8" s="17"/>
      <c r="G8" s="17"/>
      <c r="H8" s="17"/>
      <c r="I8" s="2">
        <v>26</v>
      </c>
      <c r="J8" s="2">
        <v>34</v>
      </c>
      <c r="K8" s="2">
        <v>76</v>
      </c>
      <c r="L8" s="45"/>
      <c r="M8" s="48" t="s">
        <v>35</v>
      </c>
      <c r="N8" s="48">
        <f>(G8 * IFERROR(VLOOKUP(H8,PostWorkoutTable[],2,FALSE),0)) + (G9 * IFERROR(VLOOKUP(H9,PostWorkoutTable[],2,FALSE),0)) + (G10 * IFERROR(VLOOKUP(H10,PostWorkoutTable[],2,FALSE),0)) + (G11 * IFERROR(VLOOKUP(H11,PostWorkoutTable[],2,FALSE),0))</f>
        <v>0</v>
      </c>
      <c r="O8" s="48">
        <f>(G8 * IFERROR(VLOOKUP(H8,PostWorkoutTable[],3,FALSE),0)) + (G9 * IFERROR(VLOOKUP(H9,PostWorkoutTable[],3,FALSE),0)) + (G10 * IFERROR(VLOOKUP(H10,PostWorkoutTable[],3,FALSE),0)) + (G11 * IFERROR(VLOOKUP(H11,PostWorkoutTable[],3,FALSE),0))</f>
        <v>0</v>
      </c>
      <c r="P8" s="48">
        <f>(G8 * IFERROR(VLOOKUP(H8,PostWorkoutTable[],4,FALSE),0)) + (G9 * IFERROR(VLOOKUP(H9,PostWorkoutTable[],4,FALSE),0)) + (G10 * IFERROR(VLOOKUP(H10,PostWorkoutTable[],4,FALSE),0)) + (G11 * IFERROR(VLOOKUP(H11,PostWorkoutTable[],4,FALSE),0))</f>
        <v>0</v>
      </c>
    </row>
    <row r="9" spans="1:16" x14ac:dyDescent="0.25">
      <c r="A9" s="17"/>
      <c r="B9" s="17"/>
      <c r="C9" s="17"/>
      <c r="D9" s="17"/>
      <c r="E9" s="17"/>
      <c r="F9" s="17"/>
      <c r="G9" s="17"/>
      <c r="H9" s="17"/>
      <c r="I9" s="2">
        <v>13</v>
      </c>
      <c r="J9" s="2">
        <v>16</v>
      </c>
      <c r="K9" s="2">
        <v>56</v>
      </c>
      <c r="L9" s="45"/>
      <c r="M9" s="48" t="s">
        <v>21</v>
      </c>
      <c r="N9" s="48">
        <f xml:space="preserve"> SUM(I8:I11)</f>
        <v>54</v>
      </c>
      <c r="O9" s="48">
        <f>SUM(J8:J11)</f>
        <v>50.5</v>
      </c>
      <c r="P9" s="48">
        <f>SUM(K8:K11)</f>
        <v>132</v>
      </c>
    </row>
    <row r="10" spans="1:16" x14ac:dyDescent="0.25">
      <c r="A10" s="17"/>
      <c r="B10" s="17"/>
      <c r="C10" s="17"/>
      <c r="D10" s="17"/>
      <c r="E10" s="17"/>
      <c r="F10" s="17"/>
      <c r="G10" s="17"/>
      <c r="H10" s="17"/>
      <c r="I10" s="2">
        <v>15</v>
      </c>
      <c r="J10" s="2">
        <v>0.5</v>
      </c>
      <c r="K10" s="2">
        <v>0</v>
      </c>
      <c r="L10" s="45"/>
      <c r="M10" s="48" t="s">
        <v>38</v>
      </c>
      <c r="N10" s="48">
        <f>SUM(N5:N9)</f>
        <v>86.2</v>
      </c>
      <c r="O10" s="48">
        <f>SUM(O5:O9)</f>
        <v>65.2</v>
      </c>
      <c r="P10" s="48">
        <f>SUM(P5:P9)</f>
        <v>187.4</v>
      </c>
    </row>
    <row r="11" spans="1:16" x14ac:dyDescent="0.25">
      <c r="A11" s="17"/>
      <c r="B11" s="17"/>
      <c r="C11" s="17"/>
      <c r="D11" s="17"/>
      <c r="E11" s="17"/>
      <c r="F11" s="17"/>
      <c r="G11" s="17"/>
      <c r="H11" s="17"/>
      <c r="I11" s="2"/>
      <c r="J11" s="2"/>
      <c r="K11" s="2"/>
      <c r="L11" s="45"/>
      <c r="M11" s="45"/>
      <c r="N11" s="45"/>
      <c r="O11" s="45"/>
      <c r="P11" s="45"/>
    </row>
    <row r="12" spans="1:16" x14ac:dyDescent="0.25">
      <c r="A12" s="45"/>
      <c r="B12" s="45"/>
      <c r="C12" s="45"/>
      <c r="D12" s="45"/>
      <c r="E12" s="45"/>
      <c r="F12" s="45"/>
      <c r="G12" s="45"/>
      <c r="H12" s="45"/>
      <c r="I12" s="45"/>
      <c r="J12" s="45"/>
      <c r="K12" s="45"/>
      <c r="L12" s="45"/>
      <c r="M12" s="45"/>
      <c r="N12" s="45"/>
      <c r="O12" s="45"/>
      <c r="P12" s="45"/>
    </row>
    <row r="13" spans="1:16" ht="23.25" x14ac:dyDescent="0.35">
      <c r="A13" s="49">
        <v>43526</v>
      </c>
      <c r="B13" s="45"/>
      <c r="C13" s="45"/>
      <c r="D13" s="45"/>
      <c r="E13" s="45"/>
      <c r="F13" s="45"/>
      <c r="G13" s="45"/>
      <c r="H13" s="45"/>
      <c r="I13" s="45"/>
      <c r="J13" s="45"/>
      <c r="K13" s="45"/>
      <c r="L13" s="45"/>
      <c r="M13" s="45"/>
      <c r="N13" s="45"/>
      <c r="O13" s="45"/>
      <c r="P13" s="45"/>
    </row>
    <row r="14" spans="1:16" ht="18" thickBot="1" x14ac:dyDescent="0.35">
      <c r="A14" s="3" t="s">
        <v>48</v>
      </c>
      <c r="B14" s="3" t="s">
        <v>0</v>
      </c>
      <c r="C14" s="3" t="s">
        <v>36</v>
      </c>
      <c r="D14" s="3" t="s">
        <v>8</v>
      </c>
      <c r="E14" s="5" t="s">
        <v>9</v>
      </c>
      <c r="F14" s="5" t="s">
        <v>10</v>
      </c>
      <c r="G14" s="46"/>
      <c r="H14" s="47"/>
      <c r="I14" s="45"/>
      <c r="J14" s="45"/>
      <c r="K14" s="45"/>
      <c r="L14" s="45"/>
      <c r="M14" s="46"/>
      <c r="N14" s="48" t="s">
        <v>8</v>
      </c>
      <c r="O14" s="48" t="s">
        <v>9</v>
      </c>
      <c r="P14" s="48" t="s">
        <v>10</v>
      </c>
    </row>
    <row r="15" spans="1:16" ht="15.75" thickTop="1" x14ac:dyDescent="0.25">
      <c r="A15" s="18">
        <v>43521</v>
      </c>
      <c r="B15" s="16">
        <f>IFERROR(VLOOKUP(A15,OverviewTable[],2,FALSE),"?")</f>
        <v>128.6</v>
      </c>
      <c r="C15" s="16" t="str">
        <f>((N20 * 4) + (O20 * 9) + (P20 * 4))&amp;"/"&amp;IFERROR(VLOOKUP(A15,OverviewTable[],11,FALSE),"?")</f>
        <v>2224.075/2307.6</v>
      </c>
      <c r="D15" s="16" t="str">
        <f>N20&amp;"/"&amp;IFERROR(VLOOKUP(A15,OverviewTable[],12,FALSE),"?")</f>
        <v>129.7/129</v>
      </c>
      <c r="E15" s="16" t="str">
        <f>O20&amp;"/"&amp;IFERROR(VLOOKUP(A15,OverviewTable[],13,FALSE),"?")</f>
        <v>94.075/64</v>
      </c>
      <c r="F15" s="16" t="str">
        <f>P20&amp;"/"&amp;IFERROR(VLOOKUP(A15,OverviewTable[],14,FALSE),"?")</f>
        <v>214.65/304</v>
      </c>
      <c r="G15" s="47"/>
      <c r="H15" s="47"/>
      <c r="I15" s="45"/>
      <c r="J15" s="45"/>
      <c r="K15" s="45"/>
      <c r="L15" s="45"/>
      <c r="M15" s="48" t="s">
        <v>6</v>
      </c>
      <c r="N15" s="48">
        <f>(A18 * IFERROR(VLOOKUP(B18,BreakfastTable[],2,FALSE),0)) + (A19 * IFERROR(VLOOKUP(B19,BreakfastTable[],2,FALSE),0)) + (A20 * IFERROR(VLOOKUP(B20,BreakfastTable[],2,FALSE),0)) + (A21 * IFERROR(VLOOKUP(B21,BreakfastTable[],2,FALSE),0))</f>
        <v>0</v>
      </c>
      <c r="O15" s="48">
        <f>(A18 * IFERROR(VLOOKUP(B18,BreakfastTable[],3,FALSE),0)) + (A19 * IFERROR(VLOOKUP(B19,BreakfastTable[],3,FALSE),0)) + (A20 * IFERROR(VLOOKUP(B20,BreakfastTable[],3,FALSE),0)) + (A21 * IFERROR(VLOOKUP(B21,BreakfastTable[],3,FALSE),0))</f>
        <v>0</v>
      </c>
      <c r="P15" s="48">
        <f>(A18 * IFERROR(VLOOKUP(B18,BreakfastTable[],4,FALSE),0)) + (A19 * IFERROR(VLOOKUP(B19,BreakfastTable[],4,FALSE),0)) + (A20 * IFERROR(VLOOKUP(B20,BreakfastTable[],4,FALSE),0)) + (A21 * IFERROR(VLOOKUP(B21,BreakfastTable[],4,FALSE),0))</f>
        <v>0</v>
      </c>
    </row>
    <row r="16" spans="1:16" x14ac:dyDescent="0.25">
      <c r="A16" s="17"/>
      <c r="B16" s="17"/>
      <c r="C16" s="17"/>
      <c r="D16" s="17"/>
      <c r="E16" s="17"/>
      <c r="F16" s="17"/>
      <c r="G16" s="47"/>
      <c r="H16" s="47"/>
      <c r="I16" s="45"/>
      <c r="J16" s="45"/>
      <c r="K16" s="45"/>
      <c r="L16" s="45"/>
      <c r="M16" s="48" t="s">
        <v>11</v>
      </c>
      <c r="N16" s="48">
        <f>(C18 * IFERROR(VLOOKUP(D18,LunchTable[],2,FALSE),0)) + (C19 * IFERROR(VLOOKUP(D19,LunchTable[],2,FALSE),0)) + (C20 * IFERROR(VLOOKUP(D20,LunchTable[],2,FALSE),0)) + (C21 * IFERROR(VLOOKUP(D21,LunchTable[],2,FALSE),0))</f>
        <v>0</v>
      </c>
      <c r="O16" s="48">
        <f>(C18 * IFERROR(VLOOKUP(D18,LunchTable[],3,FALSE),0)) + (C19 * IFERROR(VLOOKUP(D19,LunchTable[],3,FALSE),0)) + (C20 * IFERROR(VLOOKUP(D20,LunchTable[],3,FALSE),0)) + (C21 * IFERROR(VLOOKUP(D21,LunchTable[],3,FALSE),0))</f>
        <v>0</v>
      </c>
      <c r="P16" s="48">
        <f>(C18 * IFERROR(VLOOKUP(D18,LunchTable[],4,FALSE),0)) + (C19 * IFERROR(VLOOKUP(D19,LunchTable[],4,FALSE),0)) + (C20 * IFERROR(VLOOKUP(D20,LunchTable[],4,FALSE),0)) + (C21 * IFERROR(VLOOKUP(D21,LunchTable[],4,FALSE),0))</f>
        <v>0</v>
      </c>
    </row>
    <row r="17" spans="1:16" ht="18" thickBot="1" x14ac:dyDescent="0.35">
      <c r="A17" s="10" t="s">
        <v>34</v>
      </c>
      <c r="B17" s="11" t="s">
        <v>6</v>
      </c>
      <c r="C17" s="10" t="s">
        <v>34</v>
      </c>
      <c r="D17" s="11" t="s">
        <v>11</v>
      </c>
      <c r="E17" s="10" t="s">
        <v>34</v>
      </c>
      <c r="F17" s="11" t="s">
        <v>12</v>
      </c>
      <c r="G17" s="10" t="s">
        <v>34</v>
      </c>
      <c r="H17" s="12" t="s">
        <v>35</v>
      </c>
      <c r="I17" s="5" t="s">
        <v>41</v>
      </c>
      <c r="J17" s="5" t="s">
        <v>42</v>
      </c>
      <c r="K17" s="5" t="s">
        <v>43</v>
      </c>
      <c r="L17" s="45"/>
      <c r="M17" s="48" t="s">
        <v>12</v>
      </c>
      <c r="N17" s="48">
        <f>(E18 * IFERROR(VLOOKUP(F18,DinnerTable[],2,FALSE),0)) + (E19 * IFERROR(VLOOKUP(F19,DinnerTable[],2,FALSE),0)) + (E20 * IFERROR(VLOOKUP(F20,DinnerTable[],2,FALSE),0)) + (E21 * IFERROR(VLOOKUP(F21,DinnerTable[],2,FALSE),0))</f>
        <v>55.5</v>
      </c>
      <c r="O17" s="48">
        <f>(E18 * IFERROR(VLOOKUP(F18,DinnerTable[],3,FALSE),0)) + (E19 * IFERROR(VLOOKUP(F19,DinnerTable[],3,FALSE),0)) + (E20 * IFERROR(VLOOKUP(F20,DinnerTable[],3,FALSE),0)) + (E21 * IFERROR(VLOOKUP(F21,DinnerTable[],3,FALSE),0))</f>
        <v>61.375</v>
      </c>
      <c r="P17" s="48">
        <f>(E18 * IFERROR(VLOOKUP(F18,DinnerTable[],4,FALSE),0)) + (E19 * IFERROR(VLOOKUP(F19,DinnerTable[],4,FALSE),0)) + (E20 * IFERROR(VLOOKUP(F20,DinnerTable[],4,FALSE),0)) + (E21 * IFERROR(VLOOKUP(F21,DinnerTable[],4,FALSE),0))</f>
        <v>80.75</v>
      </c>
    </row>
    <row r="18" spans="1:16" ht="15.75" thickTop="1" x14ac:dyDescent="0.25">
      <c r="A18" s="17"/>
      <c r="B18" s="17"/>
      <c r="C18" s="17"/>
      <c r="D18" s="17"/>
      <c r="E18" s="17">
        <v>0.5</v>
      </c>
      <c r="F18" s="17" t="s">
        <v>45</v>
      </c>
      <c r="G18" s="17">
        <v>1</v>
      </c>
      <c r="H18" s="17" t="s">
        <v>97</v>
      </c>
      <c r="I18" s="2">
        <v>42</v>
      </c>
      <c r="J18" s="2">
        <v>18</v>
      </c>
      <c r="K18" s="2">
        <v>13.5</v>
      </c>
      <c r="L18" s="45"/>
      <c r="M18" s="48" t="s">
        <v>35</v>
      </c>
      <c r="N18" s="48">
        <f>(G18 * IFERROR(VLOOKUP(H18,PostWorkoutTable[],2,FALSE),0)) + (G19 * IFERROR(VLOOKUP(H19,PostWorkoutTable[],2,FALSE),0)) + (G20 * IFERROR(VLOOKUP(H20,PostWorkoutTable[],2,FALSE),0)) + (G21 * IFERROR(VLOOKUP(H21,PostWorkoutTable[],2,FALSE),0))</f>
        <v>32.200000000000003</v>
      </c>
      <c r="O18" s="48">
        <f>(G18 * IFERROR(VLOOKUP(H18,PostWorkoutTable[],3,FALSE),0)) + (G19 * IFERROR(VLOOKUP(H19,PostWorkoutTable[],3,FALSE),0)) + (G20 * IFERROR(VLOOKUP(H20,PostWorkoutTable[],3,FALSE),0)) + (G21 * IFERROR(VLOOKUP(H21,PostWorkoutTable[],3,FALSE),0))</f>
        <v>14.7</v>
      </c>
      <c r="P18" s="48">
        <f>(G18 * IFERROR(VLOOKUP(H18,PostWorkoutTable[],4,FALSE),0)) + (G19 * IFERROR(VLOOKUP(H19,PostWorkoutTable[],4,FALSE),0)) + (G20 * IFERROR(VLOOKUP(H20,PostWorkoutTable[],4,FALSE),0)) + (G21 * IFERROR(VLOOKUP(H21,PostWorkoutTable[],4,FALSE),0))</f>
        <v>55.4</v>
      </c>
    </row>
    <row r="19" spans="1:16" x14ac:dyDescent="0.25">
      <c r="A19" s="17"/>
      <c r="B19" s="17"/>
      <c r="C19" s="17"/>
      <c r="D19" s="17"/>
      <c r="E19" s="17">
        <v>0.75</v>
      </c>
      <c r="F19" s="17" t="s">
        <v>56</v>
      </c>
      <c r="G19" s="17"/>
      <c r="H19" s="17"/>
      <c r="I19" s="2">
        <v>0</v>
      </c>
      <c r="J19" s="2">
        <v>0</v>
      </c>
      <c r="K19" s="2">
        <v>65</v>
      </c>
      <c r="L19" s="45"/>
      <c r="M19" s="48" t="s">
        <v>21</v>
      </c>
      <c r="N19" s="48">
        <f xml:space="preserve"> SUM(I18:I21)</f>
        <v>42</v>
      </c>
      <c r="O19" s="48">
        <f>SUM(J18:J21)</f>
        <v>18</v>
      </c>
      <c r="P19" s="48">
        <f>SUM(K18:K21)</f>
        <v>78.5</v>
      </c>
    </row>
    <row r="20" spans="1:16" x14ac:dyDescent="0.25">
      <c r="A20" s="17"/>
      <c r="B20" s="17"/>
      <c r="C20" s="17"/>
      <c r="D20" s="17"/>
      <c r="E20" s="17">
        <v>2</v>
      </c>
      <c r="F20" s="17" t="s">
        <v>68</v>
      </c>
      <c r="G20" s="17"/>
      <c r="H20" s="17"/>
      <c r="I20" s="2"/>
      <c r="J20" s="2"/>
      <c r="K20" s="2"/>
      <c r="L20" s="45"/>
      <c r="M20" s="48" t="s">
        <v>38</v>
      </c>
      <c r="N20" s="48">
        <f>SUM(N15:N19)</f>
        <v>129.69999999999999</v>
      </c>
      <c r="O20" s="48">
        <f>SUM(O15:O19)</f>
        <v>94.075000000000003</v>
      </c>
      <c r="P20" s="48">
        <f>SUM(P15:P19)</f>
        <v>214.65</v>
      </c>
    </row>
    <row r="21" spans="1:16" x14ac:dyDescent="0.25">
      <c r="A21" s="17"/>
      <c r="B21" s="17"/>
      <c r="C21" s="17"/>
      <c r="D21" s="17"/>
      <c r="E21" s="17"/>
      <c r="F21" s="17"/>
      <c r="G21" s="17"/>
      <c r="H21" s="17"/>
      <c r="I21" s="2"/>
      <c r="J21" s="2"/>
      <c r="K21" s="2"/>
      <c r="L21" s="45"/>
      <c r="M21" s="45"/>
      <c r="N21" s="45"/>
      <c r="O21" s="45"/>
      <c r="P21" s="45"/>
    </row>
    <row r="22" spans="1:16" x14ac:dyDescent="0.25">
      <c r="A22" s="45"/>
      <c r="B22" s="45"/>
      <c r="C22" s="45"/>
      <c r="D22" s="45"/>
      <c r="E22" s="45"/>
      <c r="F22" s="45"/>
      <c r="G22" s="45"/>
      <c r="H22" s="45"/>
      <c r="I22" s="45"/>
      <c r="J22" s="45"/>
      <c r="K22" s="45"/>
      <c r="L22" s="45"/>
      <c r="M22" s="45"/>
      <c r="N22" s="45"/>
      <c r="O22" s="45"/>
      <c r="P22" s="45"/>
    </row>
    <row r="23" spans="1:16" ht="23.25" x14ac:dyDescent="0.35">
      <c r="A23" s="49">
        <v>43527</v>
      </c>
      <c r="B23" s="45"/>
      <c r="C23" s="45"/>
      <c r="D23" s="45"/>
      <c r="E23" s="45"/>
      <c r="F23" s="45"/>
      <c r="G23" s="45"/>
      <c r="H23" s="45"/>
      <c r="I23" s="45"/>
      <c r="J23" s="45"/>
      <c r="K23" s="45"/>
      <c r="L23" s="45"/>
      <c r="M23" s="45"/>
      <c r="N23" s="45"/>
      <c r="O23" s="45"/>
      <c r="P23" s="45"/>
    </row>
    <row r="24" spans="1:16" ht="18" thickBot="1" x14ac:dyDescent="0.35">
      <c r="A24" s="3" t="s">
        <v>48</v>
      </c>
      <c r="B24" s="3" t="s">
        <v>0</v>
      </c>
      <c r="C24" s="3" t="s">
        <v>36</v>
      </c>
      <c r="D24" s="3" t="s">
        <v>8</v>
      </c>
      <c r="E24" s="5" t="s">
        <v>9</v>
      </c>
      <c r="F24" s="5" t="s">
        <v>10</v>
      </c>
      <c r="G24" s="46"/>
      <c r="H24" s="47"/>
      <c r="I24" s="45"/>
      <c r="J24" s="45"/>
      <c r="K24" s="45"/>
      <c r="L24" s="45"/>
      <c r="M24" s="46"/>
      <c r="N24" s="48" t="s">
        <v>8</v>
      </c>
      <c r="O24" s="48" t="s">
        <v>9</v>
      </c>
      <c r="P24" s="48" t="s">
        <v>10</v>
      </c>
    </row>
    <row r="25" spans="1:16" ht="15.75" thickTop="1" x14ac:dyDescent="0.25">
      <c r="A25" s="18">
        <v>43521</v>
      </c>
      <c r="B25" s="16">
        <f>IFERROR(VLOOKUP(A25,OverviewTable[],2,FALSE),"?")</f>
        <v>128.6</v>
      </c>
      <c r="C25" s="16" t="str">
        <f>((N30 * 4) + (O30 * 9) + (P30 * 4))&amp;"/"&amp;IFERROR(VLOOKUP(A25,OverviewTable[],11,FALSE),"?")</f>
        <v>1102.5/2307.6</v>
      </c>
      <c r="D25" s="16" t="str">
        <f>N30&amp;"/"&amp;IFERROR(VLOOKUP(A25,OverviewTable[],12,FALSE),"?")</f>
        <v>94.5/129</v>
      </c>
      <c r="E25" s="16" t="str">
        <f>O30&amp;"/"&amp;IFERROR(VLOOKUP(A25,OverviewTable[],13,FALSE),"?")</f>
        <v>64.5/64</v>
      </c>
      <c r="F25" s="16" t="str">
        <f>P30&amp;"/"&amp;IFERROR(VLOOKUP(A25,OverviewTable[],14,FALSE),"?")</f>
        <v>36/304</v>
      </c>
      <c r="G25" s="47"/>
      <c r="H25" s="47"/>
      <c r="I25" s="45"/>
      <c r="J25" s="45"/>
      <c r="K25" s="45"/>
      <c r="L25" s="45"/>
      <c r="M25" s="48" t="s">
        <v>6</v>
      </c>
      <c r="N25" s="48">
        <f>(A28 * IFERROR(VLOOKUP(B28,BreakfastTable[],2,FALSE),0)) + (A29 * IFERROR(VLOOKUP(B29,BreakfastTable[],2,FALSE),0)) + (A30 * IFERROR(VLOOKUP(B30,BreakfastTable[],2,FALSE),0)) + (A31 * IFERROR(VLOOKUP(B31,BreakfastTable[],2,FALSE),0))</f>
        <v>20</v>
      </c>
      <c r="O25" s="48">
        <f>(A28 * IFERROR(VLOOKUP(B28,BreakfastTable[],3,FALSE),0)) + (A29 * IFERROR(VLOOKUP(B29,BreakfastTable[],3,FALSE),0)) + (A30 * IFERROR(VLOOKUP(B30,BreakfastTable[],3,FALSE),0)) + (A31 * IFERROR(VLOOKUP(B31,BreakfastTable[],3,FALSE),0))</f>
        <v>10</v>
      </c>
      <c r="P25" s="48">
        <f>(A28 * IFERROR(VLOOKUP(B28,BreakfastTable[],4,FALSE),0)) + (A29 * IFERROR(VLOOKUP(B29,BreakfastTable[],4,FALSE),0)) + (A30 * IFERROR(VLOOKUP(B30,BreakfastTable[],4,FALSE),0)) + (A31 * IFERROR(VLOOKUP(B31,BreakfastTable[],4,FALSE),0))</f>
        <v>21</v>
      </c>
    </row>
    <row r="26" spans="1:16" x14ac:dyDescent="0.25">
      <c r="A26" s="17"/>
      <c r="B26" s="17"/>
      <c r="C26" s="17"/>
      <c r="D26" s="17"/>
      <c r="E26" s="17"/>
      <c r="F26" s="17"/>
      <c r="G26" s="47"/>
      <c r="H26" s="47"/>
      <c r="I26" s="45"/>
      <c r="J26" s="45"/>
      <c r="K26" s="45"/>
      <c r="L26" s="45"/>
      <c r="M26" s="48" t="s">
        <v>11</v>
      </c>
      <c r="N26" s="48">
        <f>(C28 * IFERROR(VLOOKUP(D28,LunchTable[],2,FALSE),0)) + (C29 * IFERROR(VLOOKUP(D29,LunchTable[],2,FALSE),0)) + (C30 * IFERROR(VLOOKUP(D30,LunchTable[],2,FALSE),0)) + (C31 * IFERROR(VLOOKUP(D31,LunchTable[],2,FALSE),0))</f>
        <v>42</v>
      </c>
      <c r="O26" s="48">
        <f>(C28 * IFERROR(VLOOKUP(D28,LunchTable[],3,FALSE),0)) + (C29 * IFERROR(VLOOKUP(D29,LunchTable[],3,FALSE),0)) + (C30 * IFERROR(VLOOKUP(D30,LunchTable[],3,FALSE),0)) + (C31 * IFERROR(VLOOKUP(D31,LunchTable[],3,FALSE),0))</f>
        <v>34</v>
      </c>
      <c r="P26" s="48">
        <f>(C28 * IFERROR(VLOOKUP(D28,LunchTable[],4,FALSE),0)) + (C29 * IFERROR(VLOOKUP(D29,LunchTable[],4,FALSE),0)) + (C30 * IFERROR(VLOOKUP(D30,LunchTable[],4,FALSE),0)) + (C31 * IFERROR(VLOOKUP(D31,LunchTable[],4,FALSE),0))</f>
        <v>0</v>
      </c>
    </row>
    <row r="27" spans="1:16" ht="18" thickBot="1" x14ac:dyDescent="0.35">
      <c r="A27" s="10" t="s">
        <v>34</v>
      </c>
      <c r="B27" s="11" t="s">
        <v>6</v>
      </c>
      <c r="C27" s="10" t="s">
        <v>34</v>
      </c>
      <c r="D27" s="11" t="s">
        <v>11</v>
      </c>
      <c r="E27" s="10" t="s">
        <v>34</v>
      </c>
      <c r="F27" s="11" t="s">
        <v>12</v>
      </c>
      <c r="G27" s="10" t="s">
        <v>34</v>
      </c>
      <c r="H27" s="12" t="s">
        <v>35</v>
      </c>
      <c r="I27" s="5" t="s">
        <v>41</v>
      </c>
      <c r="J27" s="5" t="s">
        <v>42</v>
      </c>
      <c r="K27" s="5" t="s">
        <v>43</v>
      </c>
      <c r="L27" s="45"/>
      <c r="M27" s="48" t="s">
        <v>12</v>
      </c>
      <c r="N27" s="48">
        <f>(E28 * IFERROR(VLOOKUP(F28,DinnerTable[],2,FALSE),0)) + (E29 * IFERROR(VLOOKUP(F29,DinnerTable[],2,FALSE),0)) + (E30 * IFERROR(VLOOKUP(F30,DinnerTable[],2,FALSE),0)) + (E31 * IFERROR(VLOOKUP(F31,DinnerTable[],2,FALSE),0))</f>
        <v>32.5</v>
      </c>
      <c r="O27" s="48">
        <f>(E28 * IFERROR(VLOOKUP(F28,DinnerTable[],3,FALSE),0)) + (E29 * IFERROR(VLOOKUP(F29,DinnerTable[],3,FALSE),0)) + (E30 * IFERROR(VLOOKUP(F30,DinnerTable[],3,FALSE),0)) + (E31 * IFERROR(VLOOKUP(F31,DinnerTable[],3,FALSE),0))</f>
        <v>20.5</v>
      </c>
      <c r="P27" s="48">
        <f>(E28 * IFERROR(VLOOKUP(F28,DinnerTable[],4,FALSE),0)) + (E29 * IFERROR(VLOOKUP(F29,DinnerTable[],4,FALSE),0)) + (E30 * IFERROR(VLOOKUP(F30,DinnerTable[],4,FALSE),0)) + (E31 * IFERROR(VLOOKUP(F31,DinnerTable[],4,FALSE),0))</f>
        <v>15</v>
      </c>
    </row>
    <row r="28" spans="1:16" ht="15.75" thickTop="1" x14ac:dyDescent="0.25">
      <c r="A28" s="17">
        <v>1</v>
      </c>
      <c r="B28" s="17" t="s">
        <v>105</v>
      </c>
      <c r="C28" s="17">
        <v>0.5</v>
      </c>
      <c r="D28" s="17" t="s">
        <v>45</v>
      </c>
      <c r="E28" s="17">
        <v>1</v>
      </c>
      <c r="F28" s="17" t="s">
        <v>50</v>
      </c>
      <c r="G28" s="17"/>
      <c r="H28" s="17"/>
      <c r="I28" s="2"/>
      <c r="J28" s="2"/>
      <c r="K28" s="2"/>
      <c r="L28" s="45"/>
      <c r="M28" s="48" t="s">
        <v>35</v>
      </c>
      <c r="N28" s="48">
        <f>(G28 * IFERROR(VLOOKUP(H28,PostWorkoutTable[],2,FALSE),0)) + (G29 * IFERROR(VLOOKUP(H29,PostWorkoutTable[],2,FALSE),0)) + (G30 * IFERROR(VLOOKUP(H30,PostWorkoutTable[],2,FALSE),0)) + (G31 * IFERROR(VLOOKUP(H31,PostWorkoutTable[],2,FALSE),0))</f>
        <v>0</v>
      </c>
      <c r="O28" s="48">
        <f>(G28 * IFERROR(VLOOKUP(H28,PostWorkoutTable[],3,FALSE),0)) + (G29 * IFERROR(VLOOKUP(H29,PostWorkoutTable[],3,FALSE),0)) + (G30 * IFERROR(VLOOKUP(H30,PostWorkoutTable[],3,FALSE),0)) + (G31 * IFERROR(VLOOKUP(H31,PostWorkoutTable[],3,FALSE),0))</f>
        <v>0</v>
      </c>
      <c r="P28" s="48">
        <f>(G28 * IFERROR(VLOOKUP(H28,PostWorkoutTable[],4,FALSE),0)) + (G29 * IFERROR(VLOOKUP(H29,PostWorkoutTable[],4,FALSE),0)) + (G30 * IFERROR(VLOOKUP(H30,PostWorkoutTable[],4,FALSE),0)) + (G31 * IFERROR(VLOOKUP(H31,PostWorkoutTable[],4,FALSE),0))</f>
        <v>0</v>
      </c>
    </row>
    <row r="29" spans="1:16" x14ac:dyDescent="0.25">
      <c r="A29" s="17"/>
      <c r="B29" s="17"/>
      <c r="C29" s="17">
        <v>0.75</v>
      </c>
      <c r="D29" s="17" t="s">
        <v>56</v>
      </c>
      <c r="E29" s="17">
        <v>0.5</v>
      </c>
      <c r="F29" s="17" t="s">
        <v>67</v>
      </c>
      <c r="G29" s="17"/>
      <c r="H29" s="17"/>
      <c r="I29" s="2"/>
      <c r="J29" s="2"/>
      <c r="K29" s="2"/>
      <c r="L29" s="45"/>
      <c r="M29" s="48" t="s">
        <v>21</v>
      </c>
      <c r="N29" s="48">
        <f xml:space="preserve"> SUM(I28:I31)</f>
        <v>0</v>
      </c>
      <c r="O29" s="48">
        <f>SUM(J28:J31)</f>
        <v>0</v>
      </c>
      <c r="P29" s="48">
        <f>SUM(K28:K31)</f>
        <v>0</v>
      </c>
    </row>
    <row r="30" spans="1:16" x14ac:dyDescent="0.25">
      <c r="A30" s="17"/>
      <c r="B30" s="17"/>
      <c r="C30" s="17">
        <v>2</v>
      </c>
      <c r="D30" s="17" t="s">
        <v>68</v>
      </c>
      <c r="E30" s="17"/>
      <c r="F30" s="17"/>
      <c r="G30" s="17"/>
      <c r="H30" s="17"/>
      <c r="I30" s="2"/>
      <c r="J30" s="2"/>
      <c r="K30" s="2"/>
      <c r="L30" s="45"/>
      <c r="M30" s="48" t="s">
        <v>38</v>
      </c>
      <c r="N30" s="48">
        <f>SUM(N25:N29)</f>
        <v>94.5</v>
      </c>
      <c r="O30" s="48">
        <f>SUM(O25:O29)</f>
        <v>64.5</v>
      </c>
      <c r="P30" s="48">
        <f>SUM(P25:P29)</f>
        <v>36</v>
      </c>
    </row>
    <row r="31" spans="1:16" x14ac:dyDescent="0.25">
      <c r="A31" s="17"/>
      <c r="B31" s="17"/>
      <c r="C31" s="17"/>
      <c r="D31" s="17"/>
      <c r="E31" s="17"/>
      <c r="F31" s="17"/>
      <c r="G31" s="17"/>
      <c r="H31" s="17"/>
      <c r="I31" s="2"/>
      <c r="J31" s="2"/>
      <c r="K31" s="2"/>
      <c r="L31" s="45"/>
      <c r="M31" s="45"/>
      <c r="N31" s="45"/>
      <c r="O31" s="45"/>
      <c r="P31" s="45"/>
    </row>
    <row r="32" spans="1:16" x14ac:dyDescent="0.25">
      <c r="A32" s="45"/>
      <c r="B32" s="45"/>
      <c r="C32" s="45"/>
      <c r="D32" s="45"/>
      <c r="E32" s="45"/>
      <c r="F32" s="45"/>
      <c r="G32" s="45"/>
      <c r="H32" s="45"/>
      <c r="I32" s="45"/>
      <c r="J32" s="45"/>
      <c r="K32" s="45"/>
      <c r="L32" s="45"/>
      <c r="M32" s="45"/>
      <c r="N32" s="45"/>
      <c r="O32" s="45"/>
      <c r="P32" s="45"/>
    </row>
    <row r="33" spans="1:16" ht="23.25" x14ac:dyDescent="0.35">
      <c r="A33" s="49">
        <v>43528</v>
      </c>
      <c r="B33" s="45"/>
      <c r="C33" s="45"/>
      <c r="D33" s="45"/>
      <c r="E33" s="45"/>
      <c r="F33" s="45"/>
      <c r="G33" s="45"/>
      <c r="H33" s="45"/>
      <c r="I33" s="45"/>
      <c r="J33" s="45"/>
      <c r="K33" s="45"/>
      <c r="L33" s="45"/>
      <c r="M33" s="45"/>
      <c r="N33" s="45"/>
      <c r="O33" s="45"/>
      <c r="P33" s="45"/>
    </row>
    <row r="34" spans="1:16" ht="18" thickBot="1" x14ac:dyDescent="0.35">
      <c r="A34" s="3" t="s">
        <v>48</v>
      </c>
      <c r="B34" s="3" t="s">
        <v>0</v>
      </c>
      <c r="C34" s="3" t="s">
        <v>36</v>
      </c>
      <c r="D34" s="3" t="s">
        <v>8</v>
      </c>
      <c r="E34" s="5" t="s">
        <v>9</v>
      </c>
      <c r="F34" s="5" t="s">
        <v>10</v>
      </c>
      <c r="G34" s="46"/>
      <c r="H34" s="47"/>
      <c r="I34" s="45"/>
      <c r="J34" s="45"/>
      <c r="K34" s="45"/>
      <c r="L34" s="45"/>
      <c r="M34" s="46"/>
      <c r="N34" s="48" t="s">
        <v>8</v>
      </c>
      <c r="O34" s="48" t="s">
        <v>9</v>
      </c>
      <c r="P34" s="48" t="s">
        <v>10</v>
      </c>
    </row>
    <row r="35" spans="1:16" ht="15.75" thickTop="1" x14ac:dyDescent="0.25">
      <c r="A35" s="18">
        <v>43528</v>
      </c>
      <c r="B35" s="16">
        <f>IFERROR(VLOOKUP(A35,OverviewTable[],2,FALSE),"?")</f>
        <v>128.6</v>
      </c>
      <c r="C35" s="16" t="str">
        <f>((N40 * 4) + (O40 * 9) + (P40 * 4))&amp;"/"&amp;IFERROR(VLOOKUP(A35,OverviewTable[],11,FALSE),"?")</f>
        <v>2191.525/2307.6</v>
      </c>
      <c r="D35" s="16" t="str">
        <f>N40&amp;"/"&amp;IFERROR(VLOOKUP(A35,OverviewTable[],12,FALSE),"?")</f>
        <v>180.825/129</v>
      </c>
      <c r="E35" s="16" t="str">
        <f>O40&amp;"/"&amp;IFERROR(VLOOKUP(A35,OverviewTable[],13,FALSE),"?")</f>
        <v>65.625/64</v>
      </c>
      <c r="F35" s="16" t="str">
        <f>P40&amp;"/"&amp;IFERROR(VLOOKUP(A35,OverviewTable[],14,FALSE),"?")</f>
        <v>219.4/304</v>
      </c>
      <c r="G35" s="47"/>
      <c r="H35" s="47"/>
      <c r="I35" s="45"/>
      <c r="J35" s="45"/>
      <c r="K35" s="45"/>
      <c r="L35" s="45"/>
      <c r="M35" s="48" t="s">
        <v>6</v>
      </c>
      <c r="N35" s="48">
        <f>(A38 * IFERROR(VLOOKUP(B38,BreakfastTable[],2,FALSE),0)) + (A39 * IFERROR(VLOOKUP(B39,BreakfastTable[],2,FALSE),0)) + (A40 * IFERROR(VLOOKUP(B40,BreakfastTable[],2,FALSE),0)) + (A41 * IFERROR(VLOOKUP(B41,BreakfastTable[],2,FALSE),0))</f>
        <v>32.200000000000003</v>
      </c>
      <c r="O35" s="48">
        <f>(A38 * IFERROR(VLOOKUP(B38,BreakfastTable[],3,FALSE),0)) + (A39 * IFERROR(VLOOKUP(B39,BreakfastTable[],3,FALSE),0)) + (A40 * IFERROR(VLOOKUP(B40,BreakfastTable[],3,FALSE),0)) + (A41 * IFERROR(VLOOKUP(B41,BreakfastTable[],3,FALSE),0))</f>
        <v>14.7</v>
      </c>
      <c r="P35" s="48">
        <f>(A38 * IFERROR(VLOOKUP(B38,BreakfastTable[],4,FALSE),0)) + (A39 * IFERROR(VLOOKUP(B39,BreakfastTable[],4,FALSE),0)) + (A40 * IFERROR(VLOOKUP(B40,BreakfastTable[],4,FALSE),0)) + (A41 * IFERROR(VLOOKUP(B41,BreakfastTable[],4,FALSE),0))</f>
        <v>55.4</v>
      </c>
    </row>
    <row r="36" spans="1:16" x14ac:dyDescent="0.25">
      <c r="A36" s="17"/>
      <c r="B36" s="17"/>
      <c r="C36" s="17"/>
      <c r="D36" s="17"/>
      <c r="E36" s="17"/>
      <c r="F36" s="17"/>
      <c r="G36" s="47"/>
      <c r="H36" s="47"/>
      <c r="I36" s="45"/>
      <c r="J36" s="45"/>
      <c r="K36" s="45"/>
      <c r="L36" s="45"/>
      <c r="M36" s="48" t="s">
        <v>11</v>
      </c>
      <c r="N36" s="48">
        <f>(C38 * IFERROR(VLOOKUP(D38,LunchTable[],2,FALSE),0)) + (C39 * IFERROR(VLOOKUP(D39,LunchTable[],2,FALSE),0)) + (C40 * IFERROR(VLOOKUP(D40,LunchTable[],2,FALSE),0)) + (C41 * IFERROR(VLOOKUP(D41,LunchTable[],2,FALSE),0))</f>
        <v>45</v>
      </c>
      <c r="O36" s="48">
        <f>(C38 * IFERROR(VLOOKUP(D38,LunchTable[],3,FALSE),0)) + (C39 * IFERROR(VLOOKUP(D39,LunchTable[],3,FALSE),0)) + (C40 * IFERROR(VLOOKUP(D40,LunchTable[],3,FALSE),0)) + (C41 * IFERROR(VLOOKUP(D41,LunchTable[],3,FALSE),0))</f>
        <v>11</v>
      </c>
      <c r="P36" s="48">
        <f>(C38 * IFERROR(VLOOKUP(D38,LunchTable[],4,FALSE),0)) + (C39 * IFERROR(VLOOKUP(D39,LunchTable[],4,FALSE),0)) + (C40 * IFERROR(VLOOKUP(D40,LunchTable[],4,FALSE),0)) + (C41 * IFERROR(VLOOKUP(D41,LunchTable[],4,FALSE),0))</f>
        <v>65</v>
      </c>
    </row>
    <row r="37" spans="1:16" ht="18" thickBot="1" x14ac:dyDescent="0.35">
      <c r="A37" s="10" t="s">
        <v>34</v>
      </c>
      <c r="B37" s="11" t="s">
        <v>6</v>
      </c>
      <c r="C37" s="10" t="s">
        <v>34</v>
      </c>
      <c r="D37" s="11" t="s">
        <v>11</v>
      </c>
      <c r="E37" s="10" t="s">
        <v>34</v>
      </c>
      <c r="F37" s="11" t="s">
        <v>12</v>
      </c>
      <c r="G37" s="10" t="s">
        <v>34</v>
      </c>
      <c r="H37" s="12" t="s">
        <v>35</v>
      </c>
      <c r="I37" s="5" t="s">
        <v>41</v>
      </c>
      <c r="J37" s="5" t="s">
        <v>42</v>
      </c>
      <c r="K37" s="5" t="s">
        <v>43</v>
      </c>
      <c r="L37" s="45"/>
      <c r="M37" s="48" t="s">
        <v>12</v>
      </c>
      <c r="N37" s="48">
        <f>(E38 * IFERROR(VLOOKUP(F38,DinnerTable[],2,FALSE),0)) + (E39 * IFERROR(VLOOKUP(F39,DinnerTable[],2,FALSE),0)) + (E40 * IFERROR(VLOOKUP(F40,DinnerTable[],2,FALSE),0)) + (E41 * IFERROR(VLOOKUP(F41,DinnerTable[],2,FALSE),0))</f>
        <v>83.625</v>
      </c>
      <c r="O37" s="48">
        <f>(E38 * IFERROR(VLOOKUP(F38,DinnerTable[],3,FALSE),0)) + (E39 * IFERROR(VLOOKUP(F39,DinnerTable[],3,FALSE),0)) + (E40 * IFERROR(VLOOKUP(F40,DinnerTable[],3,FALSE),0)) + (E41 * IFERROR(VLOOKUP(F41,DinnerTable[],3,FALSE),0))</f>
        <v>29.925000000000001</v>
      </c>
      <c r="P37" s="48">
        <f>(E38 * IFERROR(VLOOKUP(F38,DinnerTable[],4,FALSE),0)) + (E39 * IFERROR(VLOOKUP(F39,DinnerTable[],4,FALSE),0)) + (E40 * IFERROR(VLOOKUP(F40,DinnerTable[],4,FALSE),0)) + (E41 * IFERROR(VLOOKUP(F41,DinnerTable[],4,FALSE),0))</f>
        <v>54</v>
      </c>
    </row>
    <row r="38" spans="1:16" ht="15.75" thickTop="1" x14ac:dyDescent="0.25">
      <c r="A38" s="17">
        <v>1</v>
      </c>
      <c r="B38" s="17" t="s">
        <v>97</v>
      </c>
      <c r="C38" s="17">
        <v>0.5</v>
      </c>
      <c r="D38" s="17" t="s">
        <v>51</v>
      </c>
      <c r="E38" s="17">
        <v>3</v>
      </c>
      <c r="F38" s="17" t="s">
        <v>22</v>
      </c>
      <c r="G38" s="17">
        <v>1</v>
      </c>
      <c r="H38" s="17" t="s">
        <v>105</v>
      </c>
      <c r="I38" s="2">
        <v>0</v>
      </c>
      <c r="J38" s="2">
        <v>0</v>
      </c>
      <c r="K38" s="2">
        <v>24</v>
      </c>
      <c r="L38" s="45"/>
      <c r="M38" s="48" t="s">
        <v>35</v>
      </c>
      <c r="N38" s="48">
        <f>(G38 * IFERROR(VLOOKUP(H38,PostWorkoutTable[],2,FALSE),0)) + (G39 * IFERROR(VLOOKUP(H39,PostWorkoutTable[],2,FALSE),0)) + (G40 * IFERROR(VLOOKUP(H40,PostWorkoutTable[],2,FALSE),0)) + (G41 * IFERROR(VLOOKUP(H41,PostWorkoutTable[],2,FALSE),0))</f>
        <v>20</v>
      </c>
      <c r="O38" s="48">
        <f>(G38 * IFERROR(VLOOKUP(H38,PostWorkoutTable[],3,FALSE),0)) + (G39 * IFERROR(VLOOKUP(H39,PostWorkoutTable[],3,FALSE),0)) + (G40 * IFERROR(VLOOKUP(H40,PostWorkoutTable[],3,FALSE),0)) + (G41 * IFERROR(VLOOKUP(H41,PostWorkoutTable[],3,FALSE),0))</f>
        <v>10</v>
      </c>
      <c r="P38" s="48">
        <f>(G38 * IFERROR(VLOOKUP(H38,PostWorkoutTable[],4,FALSE),0)) + (G39 * IFERROR(VLOOKUP(H39,PostWorkoutTable[],4,FALSE),0)) + (G40 * IFERROR(VLOOKUP(H40,PostWorkoutTable[],4,FALSE),0)) + (G41 * IFERROR(VLOOKUP(H41,PostWorkoutTable[],4,FALSE),0))</f>
        <v>21</v>
      </c>
    </row>
    <row r="39" spans="1:16" x14ac:dyDescent="0.25">
      <c r="A39" s="17"/>
      <c r="B39" s="17"/>
      <c r="C39" s="17">
        <v>1</v>
      </c>
      <c r="D39" s="17" t="s">
        <v>23</v>
      </c>
      <c r="E39" s="17">
        <v>0.33</v>
      </c>
      <c r="F39" s="17" t="s">
        <v>60</v>
      </c>
      <c r="G39" s="17"/>
      <c r="H39" s="17"/>
      <c r="I39" s="2"/>
      <c r="J39" s="2"/>
      <c r="K39" s="2"/>
      <c r="L39" s="45"/>
      <c r="M39" s="48" t="s">
        <v>21</v>
      </c>
      <c r="N39" s="48">
        <f xml:space="preserve"> SUM(I38:I41)</f>
        <v>0</v>
      </c>
      <c r="O39" s="48">
        <f>SUM(J38:J41)</f>
        <v>0</v>
      </c>
      <c r="P39" s="48">
        <f>SUM(K38:K41)</f>
        <v>24</v>
      </c>
    </row>
    <row r="40" spans="1:16" x14ac:dyDescent="0.25">
      <c r="A40" s="17"/>
      <c r="B40" s="17"/>
      <c r="C40" s="17"/>
      <c r="D40" s="17"/>
      <c r="E40" s="17"/>
      <c r="F40" s="17"/>
      <c r="G40" s="17"/>
      <c r="H40" s="17"/>
      <c r="I40" s="2"/>
      <c r="J40" s="2"/>
      <c r="K40" s="2"/>
      <c r="L40" s="45"/>
      <c r="M40" s="48" t="s">
        <v>38</v>
      </c>
      <c r="N40" s="48">
        <f>SUM(N35:N39)</f>
        <v>180.82499999999999</v>
      </c>
      <c r="O40" s="48">
        <f>SUM(O35:O39)</f>
        <v>65.625</v>
      </c>
      <c r="P40" s="48">
        <f>SUM(P35:P39)</f>
        <v>219.4</v>
      </c>
    </row>
    <row r="41" spans="1:16" x14ac:dyDescent="0.25">
      <c r="A41" s="17"/>
      <c r="B41" s="17"/>
      <c r="C41" s="17"/>
      <c r="D41" s="17"/>
      <c r="E41" s="17"/>
      <c r="F41" s="17"/>
      <c r="G41" s="17"/>
      <c r="H41" s="17"/>
      <c r="I41" s="2"/>
      <c r="J41" s="2"/>
      <c r="K41" s="2"/>
      <c r="L41" s="45"/>
      <c r="M41" s="45"/>
      <c r="N41" s="45"/>
      <c r="O41" s="45"/>
      <c r="P41" s="45"/>
    </row>
    <row r="42" spans="1:16" x14ac:dyDescent="0.25">
      <c r="A42" s="45"/>
      <c r="B42" s="45"/>
      <c r="C42" s="45"/>
      <c r="D42" s="45"/>
      <c r="E42" s="45"/>
      <c r="F42" s="45"/>
      <c r="G42" s="45"/>
      <c r="H42" s="45"/>
      <c r="I42" s="45"/>
      <c r="J42" s="45"/>
      <c r="K42" s="45"/>
      <c r="L42" s="45"/>
      <c r="M42" s="45"/>
      <c r="N42" s="45"/>
      <c r="O42" s="45"/>
      <c r="P42" s="45"/>
    </row>
    <row r="43" spans="1:16" ht="23.25" x14ac:dyDescent="0.35">
      <c r="A43" s="49">
        <v>43529</v>
      </c>
      <c r="B43" s="45"/>
      <c r="C43" s="45"/>
      <c r="D43" s="45"/>
      <c r="E43" s="45"/>
      <c r="F43" s="45"/>
      <c r="G43" s="45"/>
      <c r="H43" s="45"/>
      <c r="I43" s="45"/>
      <c r="J43" s="45"/>
      <c r="K43" s="45"/>
      <c r="L43" s="45"/>
      <c r="M43" s="45"/>
      <c r="N43" s="45"/>
      <c r="O43" s="45"/>
      <c r="P43" s="45"/>
    </row>
    <row r="44" spans="1:16" ht="18" thickBot="1" x14ac:dyDescent="0.35">
      <c r="A44" s="3" t="s">
        <v>48</v>
      </c>
      <c r="B44" s="3" t="s">
        <v>0</v>
      </c>
      <c r="C44" s="3" t="s">
        <v>36</v>
      </c>
      <c r="D44" s="3" t="s">
        <v>8</v>
      </c>
      <c r="E44" s="5" t="s">
        <v>9</v>
      </c>
      <c r="F44" s="5" t="s">
        <v>10</v>
      </c>
      <c r="G44" s="46"/>
      <c r="H44" s="47"/>
      <c r="I44" s="45"/>
      <c r="J44" s="45"/>
      <c r="K44" s="45"/>
      <c r="L44" s="45"/>
      <c r="M44" s="46"/>
      <c r="N44" s="48" t="s">
        <v>8</v>
      </c>
      <c r="O44" s="48" t="s">
        <v>9</v>
      </c>
      <c r="P44" s="48" t="s">
        <v>10</v>
      </c>
    </row>
    <row r="45" spans="1:16" ht="15.75" thickTop="1" x14ac:dyDescent="0.25">
      <c r="A45" s="18">
        <v>43528</v>
      </c>
      <c r="B45" s="16">
        <f>IFERROR(VLOOKUP(A45,OverviewTable[],2,FALSE),"?")</f>
        <v>128.6</v>
      </c>
      <c r="C45" s="16" t="str">
        <f>((N50 * 4) + (O50 * 9) + (P50 * 4))&amp;"/"&amp;IFERROR(VLOOKUP(A45,OverviewTable[],11,FALSE),"?")</f>
        <v>2330.825/2307.6</v>
      </c>
      <c r="D45" s="16" t="str">
        <f>N50&amp;"/"&amp;IFERROR(VLOOKUP(A45,OverviewTable[],12,FALSE),"?")</f>
        <v>152.125/129</v>
      </c>
      <c r="E45" s="16" t="str">
        <f>O50&amp;"/"&amp;IFERROR(VLOOKUP(A45,OverviewTable[],13,FALSE),"?")</f>
        <v>94.925/64</v>
      </c>
      <c r="F45" s="16" t="str">
        <f>P50&amp;"/"&amp;IFERROR(VLOOKUP(A45,OverviewTable[],14,FALSE),"?")</f>
        <v>217/304</v>
      </c>
      <c r="G45" s="47"/>
      <c r="H45" s="47"/>
      <c r="I45" s="45"/>
      <c r="J45" s="45"/>
      <c r="K45" s="45"/>
      <c r="L45" s="45"/>
      <c r="M45" s="48" t="s">
        <v>6</v>
      </c>
      <c r="N45" s="48">
        <f>(A48 * IFERROR(VLOOKUP(B48,BreakfastTable[],2,FALSE),0)) + (A49 * IFERROR(VLOOKUP(B49,BreakfastTable[],2,FALSE),0)) + (A50 * IFERROR(VLOOKUP(B50,BreakfastTable[],2,FALSE),0)) + (A51 * IFERROR(VLOOKUP(B51,BreakfastTable[],2,FALSE),0))</f>
        <v>20</v>
      </c>
      <c r="O45" s="48">
        <f>(A48 * IFERROR(VLOOKUP(B48,BreakfastTable[],3,FALSE),0)) + (A49 * IFERROR(VLOOKUP(B49,BreakfastTable[],3,FALSE),0)) + (A50 * IFERROR(VLOOKUP(B50,BreakfastTable[],3,FALSE),0)) + (A51 * IFERROR(VLOOKUP(B51,BreakfastTable[],3,FALSE),0))</f>
        <v>10</v>
      </c>
      <c r="P45" s="48">
        <f>(A48 * IFERROR(VLOOKUP(B48,BreakfastTable[],4,FALSE),0)) + (A49 * IFERROR(VLOOKUP(B49,BreakfastTable[],4,FALSE),0)) + (A50 * IFERROR(VLOOKUP(B50,BreakfastTable[],4,FALSE),0)) + (A51 * IFERROR(VLOOKUP(B51,BreakfastTable[],4,FALSE),0))</f>
        <v>21</v>
      </c>
    </row>
    <row r="46" spans="1:16" x14ac:dyDescent="0.25">
      <c r="A46" s="17"/>
      <c r="B46" s="17"/>
      <c r="C46" s="17"/>
      <c r="D46" s="17"/>
      <c r="E46" s="17"/>
      <c r="F46" s="17"/>
      <c r="G46" s="47"/>
      <c r="H46" s="47"/>
      <c r="I46" s="45"/>
      <c r="J46" s="45"/>
      <c r="K46" s="45"/>
      <c r="L46" s="45"/>
      <c r="M46" s="48" t="s">
        <v>11</v>
      </c>
      <c r="N46" s="48">
        <f>(C48 * IFERROR(VLOOKUP(D48,LunchTable[],2,FALSE),0)) + (C49 * IFERROR(VLOOKUP(D49,LunchTable[],2,FALSE),0)) + (C50 * IFERROR(VLOOKUP(D50,LunchTable[],2,FALSE),0)) + (C51 * IFERROR(VLOOKUP(D51,LunchTable[],2,FALSE),0))</f>
        <v>88.125</v>
      </c>
      <c r="O46" s="48">
        <f>(C48 * IFERROR(VLOOKUP(D48,LunchTable[],3,FALSE),0)) + (C49 * IFERROR(VLOOKUP(D49,LunchTable[],3,FALSE),0)) + (C50 * IFERROR(VLOOKUP(D50,LunchTable[],3,FALSE),0)) + (C51 * IFERROR(VLOOKUP(D51,LunchTable[],3,FALSE),0))</f>
        <v>31.925000000000001</v>
      </c>
      <c r="P46" s="48">
        <f>(C48 * IFERROR(VLOOKUP(D48,LunchTable[],4,FALSE),0)) + (C49 * IFERROR(VLOOKUP(D49,LunchTable[],4,FALSE),0)) + (C50 * IFERROR(VLOOKUP(D50,LunchTable[],4,FALSE),0)) + (C51 * IFERROR(VLOOKUP(D51,LunchTable[],4,FALSE),0))</f>
        <v>72</v>
      </c>
    </row>
    <row r="47" spans="1:16" ht="18" thickBot="1" x14ac:dyDescent="0.35">
      <c r="A47" s="10" t="s">
        <v>34</v>
      </c>
      <c r="B47" s="11" t="s">
        <v>6</v>
      </c>
      <c r="C47" s="10" t="s">
        <v>34</v>
      </c>
      <c r="D47" s="11" t="s">
        <v>11</v>
      </c>
      <c r="E47" s="10" t="s">
        <v>34</v>
      </c>
      <c r="F47" s="11" t="s">
        <v>12</v>
      </c>
      <c r="G47" s="10" t="s">
        <v>34</v>
      </c>
      <c r="H47" s="12" t="s">
        <v>35</v>
      </c>
      <c r="I47" s="5" t="s">
        <v>41</v>
      </c>
      <c r="J47" s="5" t="s">
        <v>42</v>
      </c>
      <c r="K47" s="5" t="s">
        <v>43</v>
      </c>
      <c r="L47" s="45"/>
      <c r="M47" s="48" t="s">
        <v>12</v>
      </c>
      <c r="N47" s="48">
        <f>(E48 * IFERROR(VLOOKUP(F48,DinnerTable[],2,FALSE),0)) + (E49 * IFERROR(VLOOKUP(F49,DinnerTable[],2,FALSE),0)) + (E50 * IFERROR(VLOOKUP(F50,DinnerTable[],2,FALSE),0)) + (E51 * IFERROR(VLOOKUP(F51,DinnerTable[],2,FALSE),0))</f>
        <v>0</v>
      </c>
      <c r="O47" s="48">
        <f>(E48 * IFERROR(VLOOKUP(F48,DinnerTable[],3,FALSE),0)) + (E49 * IFERROR(VLOOKUP(F49,DinnerTable[],3,FALSE),0)) + (E50 * IFERROR(VLOOKUP(F50,DinnerTable[],3,FALSE),0)) + (E51 * IFERROR(VLOOKUP(F51,DinnerTable[],3,FALSE),0))</f>
        <v>0</v>
      </c>
      <c r="P47" s="48">
        <f>(E48 * IFERROR(VLOOKUP(F48,DinnerTable[],4,FALSE),0)) + (E49 * IFERROR(VLOOKUP(F49,DinnerTable[],4,FALSE),0)) + (E50 * IFERROR(VLOOKUP(F50,DinnerTable[],4,FALSE),0)) + (E51 * IFERROR(VLOOKUP(F51,DinnerTable[],4,FALSE),0))</f>
        <v>0</v>
      </c>
    </row>
    <row r="48" spans="1:16" ht="15.75" thickTop="1" x14ac:dyDescent="0.25">
      <c r="A48" s="17">
        <v>1</v>
      </c>
      <c r="B48" s="17" t="s">
        <v>105</v>
      </c>
      <c r="C48" s="17">
        <v>4</v>
      </c>
      <c r="D48" s="17" t="s">
        <v>22</v>
      </c>
      <c r="E48" s="17"/>
      <c r="F48" s="17"/>
      <c r="G48" s="17"/>
      <c r="H48" s="17"/>
      <c r="I48" s="2">
        <v>38</v>
      </c>
      <c r="J48" s="2">
        <v>24</v>
      </c>
      <c r="K48" s="2">
        <v>5</v>
      </c>
      <c r="L48" s="45"/>
      <c r="M48" s="48" t="s">
        <v>35</v>
      </c>
      <c r="N48" s="48">
        <f>(G48 * IFERROR(VLOOKUP(H48,PostWorkoutTable[],2,FALSE),0)) + (G49 * IFERROR(VLOOKUP(H49,PostWorkoutTable[],2,FALSE),0)) + (G50 * IFERROR(VLOOKUP(H50,PostWorkoutTable[],2,FALSE),0)) + (G51 * IFERROR(VLOOKUP(H51,PostWorkoutTable[],2,FALSE),0))</f>
        <v>0</v>
      </c>
      <c r="O48" s="48">
        <f>(G48 * IFERROR(VLOOKUP(H48,PostWorkoutTable[],3,FALSE),0)) + (G49 * IFERROR(VLOOKUP(H49,PostWorkoutTable[],3,FALSE),0)) + (G50 * IFERROR(VLOOKUP(H50,PostWorkoutTable[],3,FALSE),0)) + (G51 * IFERROR(VLOOKUP(H51,PostWorkoutTable[],3,FALSE),0))</f>
        <v>0</v>
      </c>
      <c r="P48" s="48">
        <f>(G48 * IFERROR(VLOOKUP(H48,PostWorkoutTable[],4,FALSE),0)) + (G49 * IFERROR(VLOOKUP(H49,PostWorkoutTable[],4,FALSE),0)) + (G50 * IFERROR(VLOOKUP(H50,PostWorkoutTable[],4,FALSE),0)) + (G51 * IFERROR(VLOOKUP(H51,PostWorkoutTable[],4,FALSE),0))</f>
        <v>0</v>
      </c>
    </row>
    <row r="49" spans="1:16" x14ac:dyDescent="0.25">
      <c r="A49" s="17"/>
      <c r="B49" s="17"/>
      <c r="C49" s="17">
        <v>0.33</v>
      </c>
      <c r="D49" s="17" t="s">
        <v>60</v>
      </c>
      <c r="E49" s="17"/>
      <c r="F49" s="17"/>
      <c r="G49" s="17"/>
      <c r="H49" s="17"/>
      <c r="I49" s="2">
        <v>6</v>
      </c>
      <c r="J49" s="2">
        <v>29</v>
      </c>
      <c r="K49" s="2">
        <v>65</v>
      </c>
      <c r="L49" s="45"/>
      <c r="M49" s="48" t="s">
        <v>21</v>
      </c>
      <c r="N49" s="48">
        <f xml:space="preserve"> SUM(I48:I51)</f>
        <v>44</v>
      </c>
      <c r="O49" s="48">
        <f>SUM(J48:J51)</f>
        <v>53</v>
      </c>
      <c r="P49" s="48">
        <f>SUM(K48:K51)</f>
        <v>124</v>
      </c>
    </row>
    <row r="50" spans="1:16" x14ac:dyDescent="0.25">
      <c r="A50" s="17"/>
      <c r="B50" s="17"/>
      <c r="C50" s="17"/>
      <c r="D50" s="17"/>
      <c r="E50" s="17"/>
      <c r="F50" s="17"/>
      <c r="G50" s="17"/>
      <c r="H50" s="17"/>
      <c r="I50" s="2">
        <v>0</v>
      </c>
      <c r="J50" s="2">
        <v>0</v>
      </c>
      <c r="K50" s="2">
        <v>54</v>
      </c>
      <c r="L50" s="45"/>
      <c r="M50" s="48" t="s">
        <v>38</v>
      </c>
      <c r="N50" s="48">
        <f>SUM(N45:N49)</f>
        <v>152.125</v>
      </c>
      <c r="O50" s="48">
        <f>SUM(O45:O49)</f>
        <v>94.924999999999997</v>
      </c>
      <c r="P50" s="48">
        <f>SUM(P45:P49)</f>
        <v>217</v>
      </c>
    </row>
    <row r="51" spans="1:16" x14ac:dyDescent="0.25">
      <c r="A51" s="17"/>
      <c r="B51" s="17"/>
      <c r="C51" s="17"/>
      <c r="D51" s="17"/>
      <c r="E51" s="17"/>
      <c r="F51" s="17"/>
      <c r="G51" s="17"/>
      <c r="H51" s="17"/>
      <c r="I51" s="2"/>
      <c r="J51" s="2"/>
      <c r="K51" s="2"/>
      <c r="L51" s="45"/>
      <c r="M51" s="45"/>
      <c r="N51" s="45"/>
      <c r="O51" s="45"/>
      <c r="P51" s="45"/>
    </row>
    <row r="52" spans="1:16" x14ac:dyDescent="0.25">
      <c r="A52" s="45"/>
      <c r="B52" s="45"/>
      <c r="C52" s="45"/>
      <c r="D52" s="45"/>
      <c r="E52" s="45"/>
      <c r="F52" s="45"/>
      <c r="G52" s="45"/>
      <c r="H52" s="45"/>
      <c r="I52" s="45"/>
      <c r="J52" s="45"/>
      <c r="K52" s="45"/>
      <c r="L52" s="45"/>
      <c r="M52" s="45"/>
      <c r="N52" s="45"/>
      <c r="O52" s="45"/>
      <c r="P52" s="45"/>
    </row>
    <row r="53" spans="1:16" ht="23.25" x14ac:dyDescent="0.35">
      <c r="A53" s="49">
        <v>43530</v>
      </c>
      <c r="B53" s="45"/>
      <c r="C53" s="45"/>
      <c r="D53" s="45"/>
      <c r="E53" s="45"/>
      <c r="F53" s="45"/>
      <c r="G53" s="45"/>
      <c r="H53" s="45"/>
      <c r="I53" s="45"/>
      <c r="J53" s="45"/>
      <c r="K53" s="45"/>
      <c r="L53" s="45"/>
      <c r="M53" s="45"/>
      <c r="N53" s="45"/>
      <c r="O53" s="45"/>
      <c r="P53" s="45"/>
    </row>
    <row r="54" spans="1:16" ht="18" thickBot="1" x14ac:dyDescent="0.35">
      <c r="A54" s="3" t="s">
        <v>48</v>
      </c>
      <c r="B54" s="3" t="s">
        <v>0</v>
      </c>
      <c r="C54" s="3" t="s">
        <v>36</v>
      </c>
      <c r="D54" s="3" t="s">
        <v>8</v>
      </c>
      <c r="E54" s="5" t="s">
        <v>9</v>
      </c>
      <c r="F54" s="5" t="s">
        <v>10</v>
      </c>
      <c r="G54" s="46"/>
      <c r="H54" s="47"/>
      <c r="I54" s="45"/>
      <c r="J54" s="45"/>
      <c r="K54" s="45"/>
      <c r="L54" s="45"/>
      <c r="M54" s="46"/>
      <c r="N54" s="48" t="s">
        <v>8</v>
      </c>
      <c r="O54" s="48" t="s">
        <v>9</v>
      </c>
      <c r="P54" s="48" t="s">
        <v>10</v>
      </c>
    </row>
    <row r="55" spans="1:16" ht="15.75" thickTop="1" x14ac:dyDescent="0.25">
      <c r="A55" s="18">
        <v>43528</v>
      </c>
      <c r="B55" s="16">
        <f>IFERROR(VLOOKUP(A55,OverviewTable[],2,FALSE),"?")</f>
        <v>128.6</v>
      </c>
      <c r="C55" s="16" t="str">
        <f>((N60 * 4) + (O60 * 9) + (P60 * 4))&amp;"/"&amp;IFERROR(VLOOKUP(A55,OverviewTable[],11,FALSE),"?")</f>
        <v>2294.5/2307.6</v>
      </c>
      <c r="D55" s="16" t="str">
        <f>N60&amp;"/"&amp;IFERROR(VLOOKUP(A55,OverviewTable[],12,FALSE),"?")</f>
        <v>159.3/129</v>
      </c>
      <c r="E55" s="16" t="str">
        <f>O60&amp;"/"&amp;IFERROR(VLOOKUP(A55,OverviewTable[],13,FALSE),"?")</f>
        <v>102.9/64</v>
      </c>
      <c r="F55" s="16" t="str">
        <f>P60&amp;"/"&amp;IFERROR(VLOOKUP(A55,OverviewTable[],14,FALSE),"?")</f>
        <v>182.8/304</v>
      </c>
      <c r="G55" s="47"/>
      <c r="H55" s="47"/>
      <c r="I55" s="45"/>
      <c r="J55" s="45"/>
      <c r="K55" s="45"/>
      <c r="L55" s="45"/>
      <c r="M55" s="48" t="s">
        <v>6</v>
      </c>
      <c r="N55" s="48">
        <f>(A58 * IFERROR(VLOOKUP(B58,BreakfastTable[],2,FALSE),0)) + (A59 * IFERROR(VLOOKUP(B59,BreakfastTable[],2,FALSE),0)) + (A60 * IFERROR(VLOOKUP(B60,BreakfastTable[],2,FALSE),0)) + (A61 * IFERROR(VLOOKUP(B61,BreakfastTable[],2,FALSE),0))</f>
        <v>32.299999999999997</v>
      </c>
      <c r="O55" s="48">
        <f>(A58 * IFERROR(VLOOKUP(B58,BreakfastTable[],3,FALSE),0)) + (A59 * IFERROR(VLOOKUP(B59,BreakfastTable[],3,FALSE),0)) + (A60 * IFERROR(VLOOKUP(B60,BreakfastTable[],3,FALSE),0)) + (A61 * IFERROR(VLOOKUP(B61,BreakfastTable[],3,FALSE),0))</f>
        <v>14.9</v>
      </c>
      <c r="P55" s="48">
        <f>(A58 * IFERROR(VLOOKUP(B58,BreakfastTable[],4,FALSE),0)) + (A59 * IFERROR(VLOOKUP(B59,BreakfastTable[],4,FALSE),0)) + (A60 * IFERROR(VLOOKUP(B60,BreakfastTable[],4,FALSE),0)) + (A61 * IFERROR(VLOOKUP(B61,BreakfastTable[],4,FALSE),0))</f>
        <v>55.3</v>
      </c>
    </row>
    <row r="56" spans="1:16" x14ac:dyDescent="0.25">
      <c r="A56" s="17"/>
      <c r="B56" s="17"/>
      <c r="C56" s="17"/>
      <c r="D56" s="17"/>
      <c r="E56" s="17"/>
      <c r="F56" s="17"/>
      <c r="G56" s="47"/>
      <c r="H56" s="47"/>
      <c r="I56" s="45"/>
      <c r="J56" s="45"/>
      <c r="K56" s="45"/>
      <c r="L56" s="45"/>
      <c r="M56" s="48" t="s">
        <v>11</v>
      </c>
      <c r="N56" s="48">
        <f>(C58 * IFERROR(VLOOKUP(D58,LunchTable[],2,FALSE),0)) + (C59 * IFERROR(VLOOKUP(D59,LunchTable[],2,FALSE),0)) + (C60 * IFERROR(VLOOKUP(D60,LunchTable[],2,FALSE),0)) + (C61 * IFERROR(VLOOKUP(D61,LunchTable[],2,FALSE),0))</f>
        <v>47</v>
      </c>
      <c r="O56" s="48">
        <f>(C58 * IFERROR(VLOOKUP(D58,LunchTable[],3,FALSE),0)) + (C59 * IFERROR(VLOOKUP(D59,LunchTable[],3,FALSE),0)) + (C60 * IFERROR(VLOOKUP(D60,LunchTable[],3,FALSE),0)) + (C61 * IFERROR(VLOOKUP(D61,LunchTable[],3,FALSE),0))</f>
        <v>36</v>
      </c>
      <c r="P56" s="48">
        <f>(C58 * IFERROR(VLOOKUP(D58,LunchTable[],4,FALSE),0)) + (C59 * IFERROR(VLOOKUP(D59,LunchTable[],4,FALSE),0)) + (C60 * IFERROR(VLOOKUP(D60,LunchTable[],4,FALSE),0)) + (C61 * IFERROR(VLOOKUP(D61,LunchTable[],4,FALSE),0))</f>
        <v>100.5</v>
      </c>
    </row>
    <row r="57" spans="1:16" ht="18" thickBot="1" x14ac:dyDescent="0.35">
      <c r="A57" s="10" t="s">
        <v>34</v>
      </c>
      <c r="B57" s="11" t="s">
        <v>6</v>
      </c>
      <c r="C57" s="10" t="s">
        <v>34</v>
      </c>
      <c r="D57" s="11" t="s">
        <v>11</v>
      </c>
      <c r="E57" s="10" t="s">
        <v>34</v>
      </c>
      <c r="F57" s="11" t="s">
        <v>12</v>
      </c>
      <c r="G57" s="10" t="s">
        <v>34</v>
      </c>
      <c r="H57" s="12" t="s">
        <v>35</v>
      </c>
      <c r="I57" s="5" t="s">
        <v>41</v>
      </c>
      <c r="J57" s="5" t="s">
        <v>42</v>
      </c>
      <c r="K57" s="5" t="s">
        <v>43</v>
      </c>
      <c r="L57" s="45"/>
      <c r="M57" s="48" t="s">
        <v>12</v>
      </c>
      <c r="N57" s="48">
        <f>(E58 * IFERROR(VLOOKUP(F58,DinnerTable[],2,FALSE),0)) + (E59 * IFERROR(VLOOKUP(F59,DinnerTable[],2,FALSE),0)) + (E60 * IFERROR(VLOOKUP(F60,DinnerTable[],2,FALSE),0)) + (E61 * IFERROR(VLOOKUP(F61,DinnerTable[],2,FALSE),0))</f>
        <v>60</v>
      </c>
      <c r="O57" s="48">
        <f>(E58 * IFERROR(VLOOKUP(F58,DinnerTable[],3,FALSE),0)) + (E59 * IFERROR(VLOOKUP(F59,DinnerTable[],3,FALSE),0)) + (E60 * IFERROR(VLOOKUP(F60,DinnerTable[],3,FALSE),0)) + (E61 * IFERROR(VLOOKUP(F61,DinnerTable[],3,FALSE),0))</f>
        <v>42</v>
      </c>
      <c r="P57" s="48">
        <f>(E58 * IFERROR(VLOOKUP(F58,DinnerTable[],4,FALSE),0)) + (E59 * IFERROR(VLOOKUP(F59,DinnerTable[],4,FALSE),0)) + (E60 * IFERROR(VLOOKUP(F60,DinnerTable[],4,FALSE),0)) + (E61 * IFERROR(VLOOKUP(F61,DinnerTable[],4,FALSE),0))</f>
        <v>6</v>
      </c>
    </row>
    <row r="58" spans="1:16" ht="15.75" thickTop="1" x14ac:dyDescent="0.25">
      <c r="A58" s="17">
        <v>1</v>
      </c>
      <c r="B58" s="17" t="s">
        <v>98</v>
      </c>
      <c r="C58" s="17">
        <v>1</v>
      </c>
      <c r="D58" s="17" t="s">
        <v>55</v>
      </c>
      <c r="E58" s="17">
        <v>4</v>
      </c>
      <c r="F58" s="17" t="s">
        <v>29</v>
      </c>
      <c r="G58" s="17">
        <v>1</v>
      </c>
      <c r="H58" s="17" t="s">
        <v>105</v>
      </c>
      <c r="I58" s="2"/>
      <c r="J58" s="2"/>
      <c r="K58" s="2"/>
      <c r="L58" s="45"/>
      <c r="M58" s="48" t="s">
        <v>35</v>
      </c>
      <c r="N58" s="48">
        <f>(G58 * IFERROR(VLOOKUP(H58,PostWorkoutTable[],2,FALSE),0)) + (G59 * IFERROR(VLOOKUP(H59,PostWorkoutTable[],2,FALSE),0)) + (G60 * IFERROR(VLOOKUP(H60,PostWorkoutTable[],2,FALSE),0)) + (G61 * IFERROR(VLOOKUP(H61,PostWorkoutTable[],2,FALSE),0))</f>
        <v>20</v>
      </c>
      <c r="O58" s="48">
        <f>(G58 * IFERROR(VLOOKUP(H58,PostWorkoutTable[],3,FALSE),0)) + (G59 * IFERROR(VLOOKUP(H59,PostWorkoutTable[],3,FALSE),0)) + (G60 * IFERROR(VLOOKUP(H60,PostWorkoutTable[],3,FALSE),0)) + (G61 * IFERROR(VLOOKUP(H61,PostWorkoutTable[],3,FALSE),0))</f>
        <v>10</v>
      </c>
      <c r="P58" s="48">
        <f>(G58 * IFERROR(VLOOKUP(H58,PostWorkoutTable[],4,FALSE),0)) + (G59 * IFERROR(VLOOKUP(H59,PostWorkoutTable[],4,FALSE),0)) + (G60 * IFERROR(VLOOKUP(H60,PostWorkoutTable[],4,FALSE),0)) + (G61 * IFERROR(VLOOKUP(H61,PostWorkoutTable[],4,FALSE),0))</f>
        <v>21</v>
      </c>
    </row>
    <row r="59" spans="1:16" x14ac:dyDescent="0.25">
      <c r="A59" s="17"/>
      <c r="B59" s="17"/>
      <c r="C59" s="17">
        <v>1</v>
      </c>
      <c r="D59" s="17" t="s">
        <v>25</v>
      </c>
      <c r="E59" s="17">
        <v>0.25</v>
      </c>
      <c r="F59" s="17" t="s">
        <v>51</v>
      </c>
      <c r="G59" s="17"/>
      <c r="H59" s="17"/>
      <c r="I59" s="2"/>
      <c r="J59" s="2"/>
      <c r="K59" s="2"/>
      <c r="L59" s="45"/>
      <c r="M59" s="48" t="s">
        <v>21</v>
      </c>
      <c r="N59" s="48">
        <f xml:space="preserve"> SUM(I58:I61)</f>
        <v>0</v>
      </c>
      <c r="O59" s="48">
        <f>SUM(J58:J61)</f>
        <v>0</v>
      </c>
      <c r="P59" s="48">
        <f>SUM(K58:K61)</f>
        <v>0</v>
      </c>
    </row>
    <row r="60" spans="1:16" x14ac:dyDescent="0.25">
      <c r="A60" s="17"/>
      <c r="B60" s="17"/>
      <c r="C60" s="17">
        <v>1</v>
      </c>
      <c r="D60" s="17" t="s">
        <v>100</v>
      </c>
      <c r="E60" s="17">
        <v>1</v>
      </c>
      <c r="F60" s="17" t="s">
        <v>65</v>
      </c>
      <c r="G60" s="17"/>
      <c r="H60" s="17"/>
      <c r="I60" s="2"/>
      <c r="J60" s="2"/>
      <c r="K60" s="2"/>
      <c r="L60" s="45"/>
      <c r="M60" s="48" t="s">
        <v>38</v>
      </c>
      <c r="N60" s="48">
        <f>SUM(N55:N59)</f>
        <v>159.30000000000001</v>
      </c>
      <c r="O60" s="48">
        <f>SUM(O55:O59)</f>
        <v>102.9</v>
      </c>
      <c r="P60" s="48">
        <f>SUM(P55:P59)</f>
        <v>182.8</v>
      </c>
    </row>
    <row r="61" spans="1:16" x14ac:dyDescent="0.25">
      <c r="A61" s="17"/>
      <c r="B61" s="17"/>
      <c r="C61" s="17"/>
      <c r="D61" s="17"/>
      <c r="E61" s="17"/>
      <c r="F61" s="17"/>
      <c r="G61" s="17"/>
      <c r="H61" s="17"/>
      <c r="I61" s="2"/>
      <c r="J61" s="2"/>
      <c r="K61" s="2"/>
      <c r="L61" s="45"/>
      <c r="M61" s="45"/>
      <c r="N61" s="45"/>
      <c r="O61" s="45"/>
      <c r="P61" s="45"/>
    </row>
    <row r="62" spans="1:16" x14ac:dyDescent="0.25">
      <c r="A62" s="45"/>
      <c r="B62" s="45"/>
      <c r="C62" s="45"/>
      <c r="D62" s="45"/>
      <c r="E62" s="45"/>
      <c r="F62" s="45"/>
      <c r="G62" s="45"/>
      <c r="H62" s="45"/>
      <c r="I62" s="45"/>
      <c r="J62" s="45"/>
      <c r="K62" s="45"/>
      <c r="L62" s="45"/>
      <c r="M62" s="45"/>
      <c r="N62" s="45"/>
      <c r="O62" s="45"/>
      <c r="P62" s="45"/>
    </row>
    <row r="63" spans="1:16" ht="23.25" x14ac:dyDescent="0.35">
      <c r="A63" s="49">
        <v>43531</v>
      </c>
      <c r="B63" s="45"/>
      <c r="C63" s="45"/>
      <c r="D63" s="45"/>
      <c r="E63" s="45"/>
      <c r="F63" s="45"/>
      <c r="G63" s="45"/>
      <c r="H63" s="45"/>
      <c r="I63" s="45"/>
      <c r="J63" s="45"/>
      <c r="K63" s="45"/>
      <c r="L63" s="45"/>
      <c r="M63" s="45"/>
      <c r="N63" s="45"/>
      <c r="O63" s="45"/>
      <c r="P63" s="45"/>
    </row>
    <row r="64" spans="1:16" ht="18" thickBot="1" x14ac:dyDescent="0.35">
      <c r="A64" s="3" t="s">
        <v>48</v>
      </c>
      <c r="B64" s="3" t="s">
        <v>0</v>
      </c>
      <c r="C64" s="3" t="s">
        <v>36</v>
      </c>
      <c r="D64" s="3" t="s">
        <v>8</v>
      </c>
      <c r="E64" s="5" t="s">
        <v>9</v>
      </c>
      <c r="F64" s="5" t="s">
        <v>10</v>
      </c>
      <c r="G64" s="46"/>
      <c r="H64" s="47"/>
      <c r="I64" s="45"/>
      <c r="J64" s="45"/>
      <c r="K64" s="45"/>
      <c r="L64" s="45"/>
      <c r="M64" s="46"/>
      <c r="N64" s="48" t="s">
        <v>8</v>
      </c>
      <c r="O64" s="48" t="s">
        <v>9</v>
      </c>
      <c r="P64" s="48" t="s">
        <v>10</v>
      </c>
    </row>
    <row r="65" spans="1:16" ht="15.75" thickTop="1" x14ac:dyDescent="0.25">
      <c r="A65" s="18">
        <v>43528</v>
      </c>
      <c r="B65" s="16">
        <f>IFERROR(VLOOKUP(A65,OverviewTable[],2,FALSE),"?")</f>
        <v>128.6</v>
      </c>
      <c r="C65" s="16" t="str">
        <f>((N70 * 4) + (O70 * 9) + (P70 * 4))&amp;"/"&amp;IFERROR(VLOOKUP(A65,OverviewTable[],11,FALSE),"?")</f>
        <v>2039.44/2307.6</v>
      </c>
      <c r="D65" s="16" t="str">
        <f>N70&amp;"/"&amp;IFERROR(VLOOKUP(A65,OverviewTable[],12,FALSE),"?")</f>
        <v>96.56/129</v>
      </c>
      <c r="E65" s="16" t="str">
        <f>O70&amp;"/"&amp;IFERROR(VLOOKUP(A65,OverviewTable[],13,FALSE),"?")</f>
        <v>84.48/64</v>
      </c>
      <c r="F65" s="16" t="str">
        <f>P70&amp;"/"&amp;IFERROR(VLOOKUP(A65,OverviewTable[],14,FALSE),"?")</f>
        <v>223.22/304</v>
      </c>
      <c r="G65" s="47"/>
      <c r="H65" s="47"/>
      <c r="I65" s="45"/>
      <c r="J65" s="45"/>
      <c r="K65" s="45"/>
      <c r="L65" s="45"/>
      <c r="M65" s="48" t="s">
        <v>6</v>
      </c>
      <c r="N65" s="48">
        <f>(A68 * IFERROR(VLOOKUP(B68,BreakfastTable[],2,FALSE),0)) + (A69 * IFERROR(VLOOKUP(B69,BreakfastTable[],2,FALSE),0)) + (A70 * IFERROR(VLOOKUP(B70,BreakfastTable[],2,FALSE),0)) + (A71 * IFERROR(VLOOKUP(B71,BreakfastTable[],2,FALSE),0))</f>
        <v>20</v>
      </c>
      <c r="O65" s="48">
        <f>(A68 * IFERROR(VLOOKUP(B68,BreakfastTable[],3,FALSE),0)) + (A69 * IFERROR(VLOOKUP(B69,BreakfastTable[],3,FALSE),0)) + (A70 * IFERROR(VLOOKUP(B70,BreakfastTable[],3,FALSE),0)) + (A71 * IFERROR(VLOOKUP(B71,BreakfastTable[],3,FALSE),0))</f>
        <v>9</v>
      </c>
      <c r="P65" s="48">
        <f>(A68 * IFERROR(VLOOKUP(B68,BreakfastTable[],4,FALSE),0)) + (A69 * IFERROR(VLOOKUP(B69,BreakfastTable[],4,FALSE),0)) + (A70 * IFERROR(VLOOKUP(B70,BreakfastTable[],4,FALSE),0)) + (A71 * IFERROR(VLOOKUP(B71,BreakfastTable[],4,FALSE),0))</f>
        <v>30</v>
      </c>
    </row>
    <row r="66" spans="1:16" x14ac:dyDescent="0.25">
      <c r="A66" s="17"/>
      <c r="B66" s="17"/>
      <c r="C66" s="17"/>
      <c r="D66" s="17"/>
      <c r="E66" s="17"/>
      <c r="F66" s="17"/>
      <c r="G66" s="47"/>
      <c r="H66" s="47"/>
      <c r="I66" s="45"/>
      <c r="J66" s="45"/>
      <c r="K66" s="45"/>
      <c r="L66" s="45"/>
      <c r="M66" s="48" t="s">
        <v>11</v>
      </c>
      <c r="N66" s="48">
        <f>(C68 * IFERROR(VLOOKUP(D68,LunchTable[],2,FALSE),0)) + (C69 * IFERROR(VLOOKUP(D69,LunchTable[],2,FALSE),0)) + (C70 * IFERROR(VLOOKUP(D70,LunchTable[],2,FALSE),0)) + (C71 * IFERROR(VLOOKUP(D71,LunchTable[],2,FALSE),0))</f>
        <v>37.56</v>
      </c>
      <c r="O66" s="48">
        <f>(C68 * IFERROR(VLOOKUP(D68,LunchTable[],3,FALSE),0)) + (C69 * IFERROR(VLOOKUP(D69,LunchTable[],3,FALSE),0)) + (C70 * IFERROR(VLOOKUP(D70,LunchTable[],3,FALSE),0)) + (C71 * IFERROR(VLOOKUP(D71,LunchTable[],3,FALSE),0))</f>
        <v>11.48</v>
      </c>
      <c r="P66" s="48">
        <f>(C68 * IFERROR(VLOOKUP(D68,LunchTable[],4,FALSE),0)) + (C69 * IFERROR(VLOOKUP(D69,LunchTable[],4,FALSE),0)) + (C70 * IFERROR(VLOOKUP(D70,LunchTable[],4,FALSE),0)) + (C71 * IFERROR(VLOOKUP(D71,LunchTable[],4,FALSE),0))</f>
        <v>79.22</v>
      </c>
    </row>
    <row r="67" spans="1:16" ht="18" thickBot="1" x14ac:dyDescent="0.35">
      <c r="A67" s="10" t="s">
        <v>34</v>
      </c>
      <c r="B67" s="11" t="s">
        <v>6</v>
      </c>
      <c r="C67" s="10" t="s">
        <v>34</v>
      </c>
      <c r="D67" s="11" t="s">
        <v>11</v>
      </c>
      <c r="E67" s="10" t="s">
        <v>34</v>
      </c>
      <c r="F67" s="11" t="s">
        <v>12</v>
      </c>
      <c r="G67" s="10" t="s">
        <v>34</v>
      </c>
      <c r="H67" s="12" t="s">
        <v>35</v>
      </c>
      <c r="I67" s="5" t="s">
        <v>41</v>
      </c>
      <c r="J67" s="5" t="s">
        <v>42</v>
      </c>
      <c r="K67" s="5" t="s">
        <v>43</v>
      </c>
      <c r="L67" s="45"/>
      <c r="M67" s="48" t="s">
        <v>12</v>
      </c>
      <c r="N67" s="48">
        <f>(E68 * IFERROR(VLOOKUP(F68,DinnerTable[],2,FALSE),0)) + (E69 * IFERROR(VLOOKUP(F69,DinnerTable[],2,FALSE),0)) + (E70 * IFERROR(VLOOKUP(F70,DinnerTable[],2,FALSE),0)) + (E71 * IFERROR(VLOOKUP(F71,DinnerTable[],2,FALSE),0))</f>
        <v>35</v>
      </c>
      <c r="O67" s="48">
        <f>(E68 * IFERROR(VLOOKUP(F68,DinnerTable[],3,FALSE),0)) + (E69 * IFERROR(VLOOKUP(F69,DinnerTable[],3,FALSE),0)) + (E70 * IFERROR(VLOOKUP(F70,DinnerTable[],3,FALSE),0)) + (E71 * IFERROR(VLOOKUP(F71,DinnerTable[],3,FALSE),0))</f>
        <v>50</v>
      </c>
      <c r="P67" s="48">
        <f>(E68 * IFERROR(VLOOKUP(F68,DinnerTable[],4,FALSE),0)) + (E69 * IFERROR(VLOOKUP(F69,DinnerTable[],4,FALSE),0)) + (E70 * IFERROR(VLOOKUP(F70,DinnerTable[],4,FALSE),0)) + (E71 * IFERROR(VLOOKUP(F71,DinnerTable[],4,FALSE),0))</f>
        <v>60</v>
      </c>
    </row>
    <row r="68" spans="1:16" ht="15.75" thickTop="1" x14ac:dyDescent="0.25">
      <c r="A68" s="17">
        <v>1</v>
      </c>
      <c r="B68" s="17" t="s">
        <v>26</v>
      </c>
      <c r="C68" s="17">
        <v>3</v>
      </c>
      <c r="D68" s="17" t="s">
        <v>22</v>
      </c>
      <c r="E68" s="17">
        <v>0.5</v>
      </c>
      <c r="F68" s="17" t="s">
        <v>28</v>
      </c>
      <c r="G68" s="17"/>
      <c r="H68" s="17"/>
      <c r="I68" s="2">
        <v>4</v>
      </c>
      <c r="J68" s="2">
        <v>14</v>
      </c>
      <c r="K68" s="2">
        <v>54</v>
      </c>
      <c r="L68" s="45"/>
      <c r="M68" s="48" t="s">
        <v>35</v>
      </c>
      <c r="N68" s="48">
        <f>(G68 * IFERROR(VLOOKUP(H68,PostWorkoutTable[],2,FALSE),0)) + (G69 * IFERROR(VLOOKUP(H69,PostWorkoutTable[],2,FALSE),0)) + (G70 * IFERROR(VLOOKUP(H70,PostWorkoutTable[],2,FALSE),0)) + (G71 * IFERROR(VLOOKUP(H71,PostWorkoutTable[],2,FALSE),0))</f>
        <v>0</v>
      </c>
      <c r="O68" s="48">
        <f>(G68 * IFERROR(VLOOKUP(H68,PostWorkoutTable[],3,FALSE),0)) + (G69 * IFERROR(VLOOKUP(H69,PostWorkoutTable[],3,FALSE),0)) + (G70 * IFERROR(VLOOKUP(H70,PostWorkoutTable[],3,FALSE),0)) + (G71 * IFERROR(VLOOKUP(H71,PostWorkoutTable[],3,FALSE),0))</f>
        <v>0</v>
      </c>
      <c r="P68" s="48">
        <f>(G68 * IFERROR(VLOOKUP(H68,PostWorkoutTable[],4,FALSE),0)) + (G69 * IFERROR(VLOOKUP(H69,PostWorkoutTable[],4,FALSE),0)) + (G70 * IFERROR(VLOOKUP(H70,PostWorkoutTable[],4,FALSE),0)) + (G71 * IFERROR(VLOOKUP(H71,PostWorkoutTable[],4,FALSE),0))</f>
        <v>0</v>
      </c>
    </row>
    <row r="69" spans="1:16" x14ac:dyDescent="0.25">
      <c r="A69" s="17"/>
      <c r="B69" s="17"/>
      <c r="C69" s="17">
        <v>0.33</v>
      </c>
      <c r="D69" s="17" t="s">
        <v>51</v>
      </c>
      <c r="E69" s="17"/>
      <c r="F69" s="17"/>
      <c r="G69" s="17"/>
      <c r="H69" s="17"/>
      <c r="I69" s="2"/>
      <c r="J69" s="2"/>
      <c r="K69" s="2"/>
      <c r="L69" s="45"/>
      <c r="M69" s="48" t="s">
        <v>21</v>
      </c>
      <c r="N69" s="48">
        <f xml:space="preserve"> SUM(I68:I71)</f>
        <v>4</v>
      </c>
      <c r="O69" s="48">
        <f>SUM(J68:J71)</f>
        <v>14</v>
      </c>
      <c r="P69" s="48">
        <f>SUM(K68:K71)</f>
        <v>54</v>
      </c>
    </row>
    <row r="70" spans="1:16" x14ac:dyDescent="0.25">
      <c r="A70" s="17"/>
      <c r="B70" s="17"/>
      <c r="C70" s="17">
        <v>1</v>
      </c>
      <c r="D70" s="17" t="s">
        <v>33</v>
      </c>
      <c r="E70" s="17"/>
      <c r="F70" s="17"/>
      <c r="G70" s="17"/>
      <c r="H70" s="17"/>
      <c r="I70" s="2"/>
      <c r="J70" s="2"/>
      <c r="K70" s="2"/>
      <c r="L70" s="45"/>
      <c r="M70" s="48" t="s">
        <v>38</v>
      </c>
      <c r="N70" s="48">
        <f>SUM(N65:N69)</f>
        <v>96.56</v>
      </c>
      <c r="O70" s="48">
        <f>SUM(O65:O69)</f>
        <v>84.48</v>
      </c>
      <c r="P70" s="48">
        <f>SUM(P65:P69)</f>
        <v>223.22</v>
      </c>
    </row>
    <row r="71" spans="1:16" x14ac:dyDescent="0.25">
      <c r="A71" s="17"/>
      <c r="B71" s="17"/>
      <c r="C71" s="17"/>
      <c r="D71" s="17"/>
      <c r="E71" s="17"/>
      <c r="F71" s="17"/>
      <c r="G71" s="17"/>
      <c r="H71" s="17"/>
      <c r="I71" s="2"/>
      <c r="J71" s="2"/>
      <c r="K71" s="2"/>
      <c r="L71" s="45"/>
      <c r="M71" s="45"/>
      <c r="N71" s="45"/>
      <c r="O71" s="45"/>
      <c r="P71" s="45"/>
    </row>
    <row r="72" spans="1:16" x14ac:dyDescent="0.25">
      <c r="A72" s="45"/>
      <c r="B72" s="45"/>
      <c r="C72" s="45"/>
      <c r="D72" s="45"/>
      <c r="E72" s="45"/>
      <c r="F72" s="45"/>
      <c r="G72" s="45"/>
      <c r="H72" s="45"/>
      <c r="I72" s="45"/>
      <c r="J72" s="45"/>
      <c r="K72" s="45"/>
      <c r="L72" s="45"/>
      <c r="M72" s="45"/>
      <c r="N72" s="45"/>
      <c r="O72" s="45"/>
      <c r="P72" s="45"/>
    </row>
    <row r="73" spans="1:16" ht="23.25" x14ac:dyDescent="0.35">
      <c r="A73" s="49">
        <v>43532</v>
      </c>
      <c r="B73" s="45"/>
      <c r="C73" s="45"/>
      <c r="D73" s="45"/>
      <c r="E73" s="45"/>
      <c r="F73" s="45"/>
      <c r="G73" s="45"/>
      <c r="H73" s="45"/>
      <c r="I73" s="45"/>
      <c r="J73" s="45"/>
      <c r="K73" s="45"/>
      <c r="L73" s="45"/>
      <c r="M73" s="45"/>
      <c r="N73" s="45"/>
      <c r="O73" s="45"/>
      <c r="P73" s="45"/>
    </row>
    <row r="74" spans="1:16" ht="18" thickBot="1" x14ac:dyDescent="0.35">
      <c r="A74" s="3" t="s">
        <v>48</v>
      </c>
      <c r="B74" s="3" t="s">
        <v>0</v>
      </c>
      <c r="C74" s="3" t="s">
        <v>36</v>
      </c>
      <c r="D74" s="3" t="s">
        <v>8</v>
      </c>
      <c r="E74" s="5" t="s">
        <v>9</v>
      </c>
      <c r="F74" s="5" t="s">
        <v>10</v>
      </c>
      <c r="G74" s="46"/>
      <c r="H74" s="47"/>
      <c r="I74" s="45"/>
      <c r="J74" s="45"/>
      <c r="K74" s="45"/>
      <c r="L74" s="45"/>
      <c r="M74" s="46"/>
      <c r="N74" s="48" t="s">
        <v>8</v>
      </c>
      <c r="O74" s="48" t="s">
        <v>9</v>
      </c>
      <c r="P74" s="48" t="s">
        <v>10</v>
      </c>
    </row>
    <row r="75" spans="1:16" ht="15.75" thickTop="1" x14ac:dyDescent="0.25">
      <c r="A75" s="18">
        <v>43528</v>
      </c>
      <c r="B75" s="16">
        <f>IFERROR(VLOOKUP(A75,OverviewTable[],2,FALSE),"?")</f>
        <v>128.6</v>
      </c>
      <c r="C75" s="16" t="str">
        <f>((N80 * 4) + (O80 * 9) + (P80 * 4))&amp;"/"&amp;IFERROR(VLOOKUP(A75,OverviewTable[],11,FALSE),"?")</f>
        <v>2876.5/2307.6</v>
      </c>
      <c r="D75" s="16" t="str">
        <f>N80&amp;"/"&amp;IFERROR(VLOOKUP(A75,OverviewTable[],12,FALSE),"?")</f>
        <v>241.2/129</v>
      </c>
      <c r="E75" s="16" t="str">
        <f>O80&amp;"/"&amp;IFERROR(VLOOKUP(A75,OverviewTable[],13,FALSE),"?")</f>
        <v>126.9/64</v>
      </c>
      <c r="F75" s="16" t="str">
        <f>P80&amp;"/"&amp;IFERROR(VLOOKUP(A75,OverviewTable[],14,FALSE),"?")</f>
        <v>192.4/304</v>
      </c>
      <c r="G75" s="47"/>
      <c r="H75" s="47"/>
      <c r="I75" s="45"/>
      <c r="J75" s="45"/>
      <c r="K75" s="45"/>
      <c r="L75" s="45"/>
      <c r="M75" s="48" t="s">
        <v>6</v>
      </c>
      <c r="N75" s="48">
        <f>(A78 * IFERROR(VLOOKUP(B78,BreakfastTable[],2,FALSE),0)) + (A79 * IFERROR(VLOOKUP(B79,BreakfastTable[],2,FALSE),0)) + (A80 * IFERROR(VLOOKUP(B80,BreakfastTable[],2,FALSE),0)) + (A81 * IFERROR(VLOOKUP(B81,BreakfastTable[],2,FALSE),0))</f>
        <v>32.200000000000003</v>
      </c>
      <c r="O75" s="48">
        <f>(A78 * IFERROR(VLOOKUP(B78,BreakfastTable[],3,FALSE),0)) + (A79 * IFERROR(VLOOKUP(B79,BreakfastTable[],3,FALSE),0)) + (A80 * IFERROR(VLOOKUP(B80,BreakfastTable[],3,FALSE),0)) + (A81 * IFERROR(VLOOKUP(B81,BreakfastTable[],3,FALSE),0))</f>
        <v>14.9</v>
      </c>
      <c r="P75" s="48">
        <f>(A78 * IFERROR(VLOOKUP(B78,BreakfastTable[],4,FALSE),0)) + (A79 * IFERROR(VLOOKUP(B79,BreakfastTable[],4,FALSE),0)) + (A80 * IFERROR(VLOOKUP(B80,BreakfastTable[],4,FALSE),0)) + (A81 * IFERROR(VLOOKUP(B81,BreakfastTable[],4,FALSE),0))</f>
        <v>50.4</v>
      </c>
    </row>
    <row r="76" spans="1:16" x14ac:dyDescent="0.25">
      <c r="A76" s="17"/>
      <c r="B76" s="17"/>
      <c r="C76" s="17"/>
      <c r="D76" s="17"/>
      <c r="E76" s="17"/>
      <c r="F76" s="17"/>
      <c r="G76" s="47"/>
      <c r="H76" s="47"/>
      <c r="I76" s="45"/>
      <c r="J76" s="45"/>
      <c r="K76" s="45"/>
      <c r="L76" s="45"/>
      <c r="M76" s="48" t="s">
        <v>11</v>
      </c>
      <c r="N76" s="48">
        <f>(C78 * IFERROR(VLOOKUP(D78,LunchTable[],2,FALSE),0)) + (C79 * IFERROR(VLOOKUP(D79,LunchTable[],2,FALSE),0)) + (C80 * IFERROR(VLOOKUP(D80,LunchTable[],2,FALSE),0)) + (C81 * IFERROR(VLOOKUP(D81,LunchTable[],2,FALSE),0))</f>
        <v>0</v>
      </c>
      <c r="O76" s="48">
        <f>(C78 * IFERROR(VLOOKUP(D78,LunchTable[],3,FALSE),0)) + (C79 * IFERROR(VLOOKUP(D79,LunchTable[],3,FALSE),0)) + (C80 * IFERROR(VLOOKUP(D80,LunchTable[],3,FALSE),0)) + (C81 * IFERROR(VLOOKUP(D81,LunchTable[],3,FALSE),0))</f>
        <v>0</v>
      </c>
      <c r="P76" s="48">
        <f>(C78 * IFERROR(VLOOKUP(D78,LunchTable[],4,FALSE),0)) + (C79 * IFERROR(VLOOKUP(D79,LunchTable[],4,FALSE),0)) + (C80 * IFERROR(VLOOKUP(D80,LunchTable[],4,FALSE),0)) + (C81 * IFERROR(VLOOKUP(D81,LunchTable[],4,FALSE),0))</f>
        <v>0</v>
      </c>
    </row>
    <row r="77" spans="1:16" ht="18" thickBot="1" x14ac:dyDescent="0.35">
      <c r="A77" s="10" t="s">
        <v>34</v>
      </c>
      <c r="B77" s="11" t="s">
        <v>6</v>
      </c>
      <c r="C77" s="10" t="s">
        <v>34</v>
      </c>
      <c r="D77" s="11" t="s">
        <v>11</v>
      </c>
      <c r="E77" s="10" t="s">
        <v>34</v>
      </c>
      <c r="F77" s="11" t="s">
        <v>12</v>
      </c>
      <c r="G77" s="10" t="s">
        <v>34</v>
      </c>
      <c r="H77" s="12" t="s">
        <v>35</v>
      </c>
      <c r="I77" s="5" t="s">
        <v>41</v>
      </c>
      <c r="J77" s="5" t="s">
        <v>42</v>
      </c>
      <c r="K77" s="5" t="s">
        <v>43</v>
      </c>
      <c r="L77" s="45"/>
      <c r="M77" s="48" t="s">
        <v>12</v>
      </c>
      <c r="N77" s="48">
        <f>(E78 * IFERROR(VLOOKUP(F78,DinnerTable[],2,FALSE),0)) + (E79 * IFERROR(VLOOKUP(F79,DinnerTable[],2,FALSE),0)) + (E80 * IFERROR(VLOOKUP(F80,DinnerTable[],2,FALSE),0)) + (E81 * IFERROR(VLOOKUP(F81,DinnerTable[],2,FALSE),0))</f>
        <v>0</v>
      </c>
      <c r="O77" s="48">
        <f>(E78 * IFERROR(VLOOKUP(F78,DinnerTable[],3,FALSE),0)) + (E79 * IFERROR(VLOOKUP(F79,DinnerTable[],3,FALSE),0)) + (E80 * IFERROR(VLOOKUP(F80,DinnerTable[],3,FALSE),0)) + (E81 * IFERROR(VLOOKUP(F81,DinnerTable[],3,FALSE),0))</f>
        <v>0</v>
      </c>
      <c r="P77" s="48">
        <f>(E78 * IFERROR(VLOOKUP(F78,DinnerTable[],4,FALSE),0)) + (E79 * IFERROR(VLOOKUP(F79,DinnerTable[],4,FALSE),0)) + (E80 * IFERROR(VLOOKUP(F80,DinnerTable[],4,FALSE),0)) + (E81 * IFERROR(VLOOKUP(F81,DinnerTable[],4,FALSE),0))</f>
        <v>0</v>
      </c>
    </row>
    <row r="78" spans="1:16" ht="15.75" thickTop="1" x14ac:dyDescent="0.25">
      <c r="A78" s="17">
        <v>1</v>
      </c>
      <c r="B78" s="17" t="s">
        <v>96</v>
      </c>
      <c r="C78" s="17"/>
      <c r="D78" s="17"/>
      <c r="E78" s="17"/>
      <c r="F78" s="17"/>
      <c r="G78" s="17"/>
      <c r="H78" s="17"/>
      <c r="I78" s="2">
        <v>153</v>
      </c>
      <c r="J78" s="2">
        <v>62</v>
      </c>
      <c r="K78" s="2">
        <v>56</v>
      </c>
      <c r="L78" s="45"/>
      <c r="M78" s="48" t="s">
        <v>35</v>
      </c>
      <c r="N78" s="48">
        <f>(G78 * IFERROR(VLOOKUP(H78,PostWorkoutTable[],2,FALSE),0)) + (G79 * IFERROR(VLOOKUP(H79,PostWorkoutTable[],2,FALSE),0)) + (G80 * IFERROR(VLOOKUP(H80,PostWorkoutTable[],2,FALSE),0)) + (G81 * IFERROR(VLOOKUP(H81,PostWorkoutTable[],2,FALSE),0))</f>
        <v>0</v>
      </c>
      <c r="O78" s="48">
        <f>(G78 * IFERROR(VLOOKUP(H78,PostWorkoutTable[],3,FALSE),0)) + (G79 * IFERROR(VLOOKUP(H79,PostWorkoutTable[],3,FALSE),0)) + (G80 * IFERROR(VLOOKUP(H80,PostWorkoutTable[],3,FALSE),0)) + (G81 * IFERROR(VLOOKUP(H81,PostWorkoutTable[],3,FALSE),0))</f>
        <v>0</v>
      </c>
      <c r="P78" s="48">
        <f>(G78 * IFERROR(VLOOKUP(H78,PostWorkoutTable[],4,FALSE),0)) + (G79 * IFERROR(VLOOKUP(H79,PostWorkoutTable[],4,FALSE),0)) + (G80 * IFERROR(VLOOKUP(H80,PostWorkoutTable[],4,FALSE),0)) + (G81 * IFERROR(VLOOKUP(H81,PostWorkoutTable[],4,FALSE),0))</f>
        <v>0</v>
      </c>
    </row>
    <row r="79" spans="1:16" x14ac:dyDescent="0.25">
      <c r="A79" s="17"/>
      <c r="B79" s="17"/>
      <c r="C79" s="17"/>
      <c r="D79" s="17"/>
      <c r="E79" s="17"/>
      <c r="F79" s="17"/>
      <c r="G79" s="17"/>
      <c r="H79" s="17"/>
      <c r="I79" s="2">
        <v>56</v>
      </c>
      <c r="J79" s="2">
        <v>50</v>
      </c>
      <c r="K79" s="2">
        <v>86</v>
      </c>
      <c r="L79" s="45"/>
      <c r="M79" s="48" t="s">
        <v>21</v>
      </c>
      <c r="N79" s="48">
        <f xml:space="preserve"> SUM(I78:I81)</f>
        <v>209</v>
      </c>
      <c r="O79" s="48">
        <f>SUM(J78:J81)</f>
        <v>112</v>
      </c>
      <c r="P79" s="48">
        <f>SUM(K78:K81)</f>
        <v>142</v>
      </c>
    </row>
    <row r="80" spans="1:16" x14ac:dyDescent="0.25">
      <c r="A80" s="17"/>
      <c r="B80" s="17"/>
      <c r="C80" s="17"/>
      <c r="D80" s="17"/>
      <c r="E80" s="17"/>
      <c r="F80" s="17"/>
      <c r="G80" s="17"/>
      <c r="H80" s="17"/>
      <c r="I80" s="2"/>
      <c r="J80" s="2"/>
      <c r="K80" s="2"/>
      <c r="L80" s="45"/>
      <c r="M80" s="48" t="s">
        <v>38</v>
      </c>
      <c r="N80" s="48">
        <f>SUM(N75:N79)</f>
        <v>241.2</v>
      </c>
      <c r="O80" s="48">
        <f>SUM(O75:O79)</f>
        <v>126.9</v>
      </c>
      <c r="P80" s="48">
        <f>SUM(P75:P79)</f>
        <v>192.4</v>
      </c>
    </row>
    <row r="81" spans="1:16" x14ac:dyDescent="0.25">
      <c r="A81" s="17"/>
      <c r="B81" s="17"/>
      <c r="C81" s="17"/>
      <c r="D81" s="17"/>
      <c r="E81" s="17"/>
      <c r="F81" s="17"/>
      <c r="G81" s="17"/>
      <c r="H81" s="17"/>
      <c r="I81" s="2"/>
      <c r="J81" s="2"/>
      <c r="K81" s="2"/>
      <c r="L81" s="45"/>
      <c r="M81" s="45"/>
      <c r="N81" s="45"/>
      <c r="O81" s="45"/>
      <c r="P81" s="45"/>
    </row>
    <row r="82" spans="1:16" x14ac:dyDescent="0.25">
      <c r="A82" s="45"/>
      <c r="B82" s="45"/>
      <c r="C82" s="45"/>
      <c r="D82" s="45"/>
      <c r="E82" s="45"/>
      <c r="F82" s="45"/>
      <c r="G82" s="45"/>
      <c r="H82" s="45"/>
      <c r="I82" s="45"/>
      <c r="J82" s="45"/>
      <c r="K82" s="45"/>
      <c r="L82" s="45"/>
      <c r="M82" s="45"/>
      <c r="N82" s="45"/>
      <c r="O82" s="45"/>
      <c r="P82" s="45"/>
    </row>
    <row r="83" spans="1:16" ht="23.25" x14ac:dyDescent="0.35">
      <c r="A83" s="49">
        <v>43533</v>
      </c>
      <c r="B83" s="45"/>
      <c r="C83" s="45"/>
      <c r="D83" s="45"/>
      <c r="E83" s="45"/>
      <c r="F83" s="45"/>
      <c r="G83" s="45"/>
      <c r="H83" s="45"/>
      <c r="I83" s="45"/>
      <c r="J83" s="45"/>
      <c r="K83" s="45"/>
      <c r="L83" s="45"/>
      <c r="M83" s="45"/>
      <c r="N83" s="45"/>
      <c r="O83" s="45"/>
      <c r="P83" s="45"/>
    </row>
    <row r="84" spans="1:16" ht="18" thickBot="1" x14ac:dyDescent="0.35">
      <c r="A84" s="3" t="s">
        <v>48</v>
      </c>
      <c r="B84" s="3" t="s">
        <v>0</v>
      </c>
      <c r="C84" s="3" t="s">
        <v>36</v>
      </c>
      <c r="D84" s="3" t="s">
        <v>8</v>
      </c>
      <c r="E84" s="5" t="s">
        <v>9</v>
      </c>
      <c r="F84" s="5" t="s">
        <v>10</v>
      </c>
      <c r="G84" s="46"/>
      <c r="H84" s="47"/>
      <c r="I84" s="45"/>
      <c r="J84" s="45"/>
      <c r="K84" s="45"/>
      <c r="L84" s="45"/>
      <c r="M84" s="46"/>
      <c r="N84" s="48" t="s">
        <v>8</v>
      </c>
      <c r="O84" s="48" t="s">
        <v>9</v>
      </c>
      <c r="P84" s="48" t="s">
        <v>10</v>
      </c>
    </row>
    <row r="85" spans="1:16" ht="15.75" thickTop="1" x14ac:dyDescent="0.25">
      <c r="A85" s="18">
        <v>43528</v>
      </c>
      <c r="B85" s="16">
        <f>IFERROR(VLOOKUP(A85,OverviewTable[],2,FALSE),"?")</f>
        <v>128.6</v>
      </c>
      <c r="C85" s="16" t="str">
        <f>((N90 * 4) + (O90 * 9) + (P90 * 4))&amp;"/"&amp;IFERROR(VLOOKUP(A85,OverviewTable[],11,FALSE),"?")</f>
        <v>991.65/2307.6</v>
      </c>
      <c r="D85" s="16" t="str">
        <f>N90&amp;"/"&amp;IFERROR(VLOOKUP(A85,OverviewTable[],12,FALSE),"?")</f>
        <v>100.45/129</v>
      </c>
      <c r="E85" s="16" t="str">
        <f>O90&amp;"/"&amp;IFERROR(VLOOKUP(A85,OverviewTable[],13,FALSE),"?")</f>
        <v>32.65/64</v>
      </c>
      <c r="F85" s="16" t="str">
        <f>P90&amp;"/"&amp;IFERROR(VLOOKUP(A85,OverviewTable[],14,FALSE),"?")</f>
        <v>74/304</v>
      </c>
      <c r="G85" s="47"/>
      <c r="H85" s="47"/>
      <c r="I85" s="45"/>
      <c r="J85" s="45"/>
      <c r="K85" s="45"/>
      <c r="L85" s="45"/>
      <c r="M85" s="48" t="s">
        <v>6</v>
      </c>
      <c r="N85" s="48">
        <f>(A88 * IFERROR(VLOOKUP(B88,BreakfastTable[],2,FALSE),0)) + (A89 * IFERROR(VLOOKUP(B89,BreakfastTable[],2,FALSE),0)) + (A90 * IFERROR(VLOOKUP(B90,BreakfastTable[],2,FALSE),0)) + (A91 * IFERROR(VLOOKUP(B91,BreakfastTable[],2,FALSE),0))</f>
        <v>29</v>
      </c>
      <c r="O85" s="48">
        <f>(A88 * IFERROR(VLOOKUP(B88,BreakfastTable[],3,FALSE),0)) + (A89 * IFERROR(VLOOKUP(B89,BreakfastTable[],3,FALSE),0)) + (A90 * IFERROR(VLOOKUP(B90,BreakfastTable[],3,FALSE),0)) + (A91 * IFERROR(VLOOKUP(B91,BreakfastTable[],3,FALSE),0))</f>
        <v>13.5</v>
      </c>
      <c r="P85" s="48">
        <f>(A88 * IFERROR(VLOOKUP(B88,BreakfastTable[],4,FALSE),0)) + (A89 * IFERROR(VLOOKUP(B89,BreakfastTable[],4,FALSE),0)) + (A90 * IFERROR(VLOOKUP(B90,BreakfastTable[],4,FALSE),0)) + (A91 * IFERROR(VLOOKUP(B91,BreakfastTable[],4,FALSE),0))</f>
        <v>8</v>
      </c>
    </row>
    <row r="86" spans="1:16" x14ac:dyDescent="0.25">
      <c r="A86" s="17"/>
      <c r="B86" s="17"/>
      <c r="C86" s="17"/>
      <c r="D86" s="17"/>
      <c r="E86" s="17"/>
      <c r="F86" s="17"/>
      <c r="G86" s="47"/>
      <c r="H86" s="47"/>
      <c r="I86" s="45"/>
      <c r="J86" s="45"/>
      <c r="K86" s="45"/>
      <c r="L86" s="45"/>
      <c r="M86" s="48" t="s">
        <v>11</v>
      </c>
      <c r="N86" s="48">
        <f>(C88 * IFERROR(VLOOKUP(D88,LunchTable[],2,FALSE),0)) + (C89 * IFERROR(VLOOKUP(D89,LunchTable[],2,FALSE),0)) + (C90 * IFERROR(VLOOKUP(D90,LunchTable[],2,FALSE),0)) + (C91 * IFERROR(VLOOKUP(D91,LunchTable[],2,FALSE),0))</f>
        <v>0</v>
      </c>
      <c r="O86" s="48">
        <f>(C88 * IFERROR(VLOOKUP(D88,LunchTable[],3,FALSE),0)) + (C89 * IFERROR(VLOOKUP(D89,LunchTable[],3,FALSE),0)) + (C90 * IFERROR(VLOOKUP(D90,LunchTable[],3,FALSE),0)) + (C91 * IFERROR(VLOOKUP(D91,LunchTable[],3,FALSE),0))</f>
        <v>0</v>
      </c>
      <c r="P86" s="48">
        <f>(C88 * IFERROR(VLOOKUP(D88,LunchTable[],4,FALSE),0)) + (C89 * IFERROR(VLOOKUP(D89,LunchTable[],4,FALSE),0)) + (C90 * IFERROR(VLOOKUP(D90,LunchTable[],4,FALSE),0)) + (C91 * IFERROR(VLOOKUP(D91,LunchTable[],4,FALSE),0))</f>
        <v>0</v>
      </c>
    </row>
    <row r="87" spans="1:16" ht="18" thickBot="1" x14ac:dyDescent="0.35">
      <c r="A87" s="10" t="s">
        <v>34</v>
      </c>
      <c r="B87" s="11" t="s">
        <v>6</v>
      </c>
      <c r="C87" s="10" t="s">
        <v>34</v>
      </c>
      <c r="D87" s="11" t="s">
        <v>11</v>
      </c>
      <c r="E87" s="10" t="s">
        <v>34</v>
      </c>
      <c r="F87" s="11" t="s">
        <v>12</v>
      </c>
      <c r="G87" s="10" t="s">
        <v>34</v>
      </c>
      <c r="H87" s="12" t="s">
        <v>35</v>
      </c>
      <c r="I87" s="5" t="s">
        <v>41</v>
      </c>
      <c r="J87" s="5" t="s">
        <v>42</v>
      </c>
      <c r="K87" s="5" t="s">
        <v>43</v>
      </c>
      <c r="L87" s="45"/>
      <c r="M87" s="48" t="s">
        <v>12</v>
      </c>
      <c r="N87" s="48">
        <f>(E88 * IFERROR(VLOOKUP(F88,DinnerTable[],2,FALSE),0)) + (E89 * IFERROR(VLOOKUP(F89,DinnerTable[],2,FALSE),0)) + (E90 * IFERROR(VLOOKUP(F90,DinnerTable[],2,FALSE),0)) + (E91 * IFERROR(VLOOKUP(F91,DinnerTable[],2,FALSE),0))</f>
        <v>18.75</v>
      </c>
      <c r="O87" s="48">
        <f>(E88 * IFERROR(VLOOKUP(F88,DinnerTable[],3,FALSE),0)) + (E89 * IFERROR(VLOOKUP(F89,DinnerTable[],3,FALSE),0)) + (E90 * IFERROR(VLOOKUP(F90,DinnerTable[],3,FALSE),0)) + (E91 * IFERROR(VLOOKUP(F91,DinnerTable[],3,FALSE),0))</f>
        <v>0.75</v>
      </c>
      <c r="P87" s="48">
        <f>(E88 * IFERROR(VLOOKUP(F88,DinnerTable[],4,FALSE),0)) + (E89 * IFERROR(VLOOKUP(F89,DinnerTable[],4,FALSE),0)) + (E90 * IFERROR(VLOOKUP(F90,DinnerTable[],4,FALSE),0)) + (E91 * IFERROR(VLOOKUP(F91,DinnerTable[],4,FALSE),0))</f>
        <v>0</v>
      </c>
    </row>
    <row r="88" spans="1:16" ht="15.75" thickTop="1" x14ac:dyDescent="0.25">
      <c r="A88" s="17">
        <v>3</v>
      </c>
      <c r="B88" s="17" t="s">
        <v>29</v>
      </c>
      <c r="C88" s="17"/>
      <c r="D88" s="17"/>
      <c r="E88" s="17">
        <v>0.75</v>
      </c>
      <c r="F88" s="17" t="s">
        <v>50</v>
      </c>
      <c r="G88" s="17"/>
      <c r="H88" s="17"/>
      <c r="I88" s="2">
        <v>45</v>
      </c>
      <c r="J88" s="2">
        <v>3.5</v>
      </c>
      <c r="K88" s="2">
        <v>3</v>
      </c>
      <c r="L88" s="45"/>
      <c r="M88" s="48" t="s">
        <v>35</v>
      </c>
      <c r="N88" s="48">
        <f>(G88 * IFERROR(VLOOKUP(H88,PostWorkoutTable[],2,FALSE),0)) + (G89 * IFERROR(VLOOKUP(H89,PostWorkoutTable[],2,FALSE),0)) + (G90 * IFERROR(VLOOKUP(H90,PostWorkoutTable[],2,FALSE),0)) + (G91 * IFERROR(VLOOKUP(H91,PostWorkoutTable[],2,FALSE),0))</f>
        <v>0</v>
      </c>
      <c r="O88" s="48">
        <f>(G88 * IFERROR(VLOOKUP(H88,PostWorkoutTable[],3,FALSE),0)) + (G89 * IFERROR(VLOOKUP(H89,PostWorkoutTable[],3,FALSE),0)) + (G90 * IFERROR(VLOOKUP(H90,PostWorkoutTable[],3,FALSE),0)) + (G91 * IFERROR(VLOOKUP(H91,PostWorkoutTable[],3,FALSE),0))</f>
        <v>0</v>
      </c>
      <c r="P88" s="48">
        <f>(G88 * IFERROR(VLOOKUP(H88,PostWorkoutTable[],4,FALSE),0)) + (G89 * IFERROR(VLOOKUP(H89,PostWorkoutTable[],4,FALSE),0)) + (G90 * IFERROR(VLOOKUP(H90,PostWorkoutTable[],4,FALSE),0)) + (G91 * IFERROR(VLOOKUP(H91,PostWorkoutTable[],4,FALSE),0))</f>
        <v>0</v>
      </c>
    </row>
    <row r="89" spans="1:16" x14ac:dyDescent="0.25">
      <c r="A89" s="17">
        <v>2</v>
      </c>
      <c r="B89" s="17" t="s">
        <v>49</v>
      </c>
      <c r="C89" s="17"/>
      <c r="D89" s="17"/>
      <c r="E89" s="17"/>
      <c r="F89" s="17"/>
      <c r="G89" s="17"/>
      <c r="H89" s="17"/>
      <c r="I89" s="2">
        <v>3</v>
      </c>
      <c r="J89" s="2">
        <v>13</v>
      </c>
      <c r="K89" s="2">
        <v>36</v>
      </c>
      <c r="L89" s="45"/>
      <c r="M89" s="48" t="s">
        <v>21</v>
      </c>
      <c r="N89" s="48">
        <f xml:space="preserve"> SUM(I88:I91)</f>
        <v>52.7</v>
      </c>
      <c r="O89" s="48">
        <f>SUM(J88:J91)</f>
        <v>18.399999999999999</v>
      </c>
      <c r="P89" s="48">
        <f>SUM(K88:K91)</f>
        <v>66</v>
      </c>
    </row>
    <row r="90" spans="1:16" x14ac:dyDescent="0.25">
      <c r="A90" s="17"/>
      <c r="B90" s="17"/>
      <c r="C90" s="17"/>
      <c r="D90" s="17"/>
      <c r="E90" s="17"/>
      <c r="F90" s="17"/>
      <c r="G90" s="17"/>
      <c r="H90" s="17"/>
      <c r="I90" s="2">
        <v>4.7</v>
      </c>
      <c r="J90" s="2">
        <v>1.9</v>
      </c>
      <c r="K90" s="2">
        <v>27</v>
      </c>
      <c r="L90" s="45"/>
      <c r="M90" s="48" t="s">
        <v>38</v>
      </c>
      <c r="N90" s="48">
        <f>SUM(N85:N89)</f>
        <v>100.45</v>
      </c>
      <c r="O90" s="48">
        <f>SUM(O85:O89)</f>
        <v>32.65</v>
      </c>
      <c r="P90" s="48">
        <f>SUM(P85:P89)</f>
        <v>74</v>
      </c>
    </row>
    <row r="91" spans="1:16" x14ac:dyDescent="0.25">
      <c r="A91" s="17"/>
      <c r="B91" s="17"/>
      <c r="C91" s="17"/>
      <c r="D91" s="17"/>
      <c r="E91" s="17"/>
      <c r="F91" s="17"/>
      <c r="G91" s="17"/>
      <c r="H91" s="17"/>
      <c r="I91" s="2"/>
      <c r="J91" s="2"/>
      <c r="K91" s="2"/>
      <c r="L91" s="45"/>
      <c r="M91" s="45"/>
      <c r="N91" s="45"/>
      <c r="O91" s="45"/>
      <c r="P91" s="45"/>
    </row>
    <row r="92" spans="1:16" x14ac:dyDescent="0.25">
      <c r="A92" s="45"/>
      <c r="B92" s="45"/>
      <c r="C92" s="45"/>
      <c r="D92" s="45"/>
      <c r="E92" s="45"/>
      <c r="F92" s="45"/>
      <c r="G92" s="45"/>
      <c r="H92" s="45"/>
      <c r="I92" s="45"/>
      <c r="J92" s="45"/>
      <c r="K92" s="45"/>
      <c r="L92" s="45"/>
      <c r="M92" s="45"/>
      <c r="N92" s="45"/>
      <c r="O92" s="45"/>
      <c r="P92" s="45"/>
    </row>
    <row r="93" spans="1:16" ht="23.25" x14ac:dyDescent="0.35">
      <c r="A93" s="49">
        <v>43534</v>
      </c>
      <c r="B93" s="45"/>
      <c r="C93" s="45"/>
      <c r="D93" s="45"/>
      <c r="E93" s="45"/>
      <c r="F93" s="45"/>
      <c r="G93" s="45"/>
      <c r="H93" s="45"/>
      <c r="I93" s="45"/>
      <c r="J93" s="45"/>
      <c r="K93" s="45"/>
      <c r="L93" s="45"/>
      <c r="M93" s="45"/>
      <c r="N93" s="45"/>
      <c r="O93" s="45"/>
      <c r="P93" s="45"/>
    </row>
    <row r="94" spans="1:16" ht="18" thickBot="1" x14ac:dyDescent="0.35">
      <c r="A94" s="3" t="s">
        <v>48</v>
      </c>
      <c r="B94" s="3" t="s">
        <v>0</v>
      </c>
      <c r="C94" s="3" t="s">
        <v>36</v>
      </c>
      <c r="D94" s="3" t="s">
        <v>8</v>
      </c>
      <c r="E94" s="5" t="s">
        <v>9</v>
      </c>
      <c r="F94" s="5" t="s">
        <v>10</v>
      </c>
      <c r="G94" s="46"/>
      <c r="H94" s="47"/>
      <c r="I94" s="45"/>
      <c r="J94" s="45"/>
      <c r="K94" s="45"/>
      <c r="L94" s="45"/>
      <c r="M94" s="46"/>
      <c r="N94" s="48" t="s">
        <v>8</v>
      </c>
      <c r="O94" s="48" t="s">
        <v>9</v>
      </c>
      <c r="P94" s="48" t="s">
        <v>10</v>
      </c>
    </row>
    <row r="95" spans="1:16" ht="15.75" thickTop="1" x14ac:dyDescent="0.25">
      <c r="A95" s="18">
        <v>43528</v>
      </c>
      <c r="B95" s="16">
        <f>IFERROR(VLOOKUP(A95,OverviewTable[],2,FALSE),"?")</f>
        <v>128.6</v>
      </c>
      <c r="C95" s="16" t="str">
        <f>((N100 * 4) + (O100 * 9) + (P100 * 4))&amp;"/"&amp;IFERROR(VLOOKUP(A95,OverviewTable[],11,FALSE),"?")</f>
        <v>1735.9/2307.6</v>
      </c>
      <c r="D95" s="16" t="str">
        <f>N100&amp;"/"&amp;IFERROR(VLOOKUP(A95,OverviewTable[],12,FALSE),"?")</f>
        <v>97.5/129</v>
      </c>
      <c r="E95" s="16" t="str">
        <f>O100&amp;"/"&amp;IFERROR(VLOOKUP(A95,OverviewTable[],13,FALSE),"?")</f>
        <v>69.1/64</v>
      </c>
      <c r="F95" s="16" t="str">
        <f>P100&amp;"/"&amp;IFERROR(VLOOKUP(A95,OverviewTable[],14,FALSE),"?")</f>
        <v>181/304</v>
      </c>
      <c r="G95" s="47"/>
      <c r="H95" s="47"/>
      <c r="I95" s="45"/>
      <c r="J95" s="45"/>
      <c r="K95" s="45"/>
      <c r="L95" s="45"/>
      <c r="M95" s="48" t="s">
        <v>6</v>
      </c>
      <c r="N95" s="48">
        <f>(A98 * IFERROR(VLOOKUP(B98,BreakfastTable[],2,FALSE),0)) + (A99 * IFERROR(VLOOKUP(B99,BreakfastTable[],2,FALSE),0)) + (A100 * IFERROR(VLOOKUP(B100,BreakfastTable[],2,FALSE),0)) + (A101 * IFERROR(VLOOKUP(B101,BreakfastTable[],2,FALSE),0))</f>
        <v>20</v>
      </c>
      <c r="O95" s="48">
        <f>(A98 * IFERROR(VLOOKUP(B98,BreakfastTable[],3,FALSE),0)) + (A99 * IFERROR(VLOOKUP(B99,BreakfastTable[],3,FALSE),0)) + (A100 * IFERROR(VLOOKUP(B100,BreakfastTable[],3,FALSE),0)) + (A101 * IFERROR(VLOOKUP(B101,BreakfastTable[],3,FALSE),0))</f>
        <v>9</v>
      </c>
      <c r="P95" s="48">
        <f>(A98 * IFERROR(VLOOKUP(B98,BreakfastTable[],4,FALSE),0)) + (A99 * IFERROR(VLOOKUP(B99,BreakfastTable[],4,FALSE),0)) + (A100 * IFERROR(VLOOKUP(B100,BreakfastTable[],4,FALSE),0)) + (A101 * IFERROR(VLOOKUP(B101,BreakfastTable[],4,FALSE),0))</f>
        <v>30</v>
      </c>
    </row>
    <row r="96" spans="1:16" x14ac:dyDescent="0.25">
      <c r="A96" s="17"/>
      <c r="B96" s="17"/>
      <c r="C96" s="17"/>
      <c r="D96" s="17"/>
      <c r="E96" s="17"/>
      <c r="F96" s="17"/>
      <c r="G96" s="47"/>
      <c r="H96" s="47"/>
      <c r="I96" s="45"/>
      <c r="J96" s="45"/>
      <c r="K96" s="45"/>
      <c r="L96" s="45"/>
      <c r="M96" s="48" t="s">
        <v>11</v>
      </c>
      <c r="N96" s="48">
        <f>(C98 * IFERROR(VLOOKUP(D98,LunchTable[],2,FALSE),0)) + (C99 * IFERROR(VLOOKUP(D99,LunchTable[],2,FALSE),0)) + (C100 * IFERROR(VLOOKUP(D100,LunchTable[],2,FALSE),0)) + (C101 * IFERROR(VLOOKUP(D101,LunchTable[],2,FALSE),0))</f>
        <v>0</v>
      </c>
      <c r="O96" s="48">
        <f>(C98 * IFERROR(VLOOKUP(D98,LunchTable[],3,FALSE),0)) + (C99 * IFERROR(VLOOKUP(D99,LunchTable[],3,FALSE),0)) + (C100 * IFERROR(VLOOKUP(D100,LunchTable[],3,FALSE),0)) + (C101 * IFERROR(VLOOKUP(D101,LunchTable[],3,FALSE),0))</f>
        <v>0</v>
      </c>
      <c r="P96" s="48">
        <f>(C98 * IFERROR(VLOOKUP(D98,LunchTable[],4,FALSE),0)) + (C99 * IFERROR(VLOOKUP(D99,LunchTable[],4,FALSE),0)) + (C100 * IFERROR(VLOOKUP(D100,LunchTable[],4,FALSE),0)) + (C101 * IFERROR(VLOOKUP(D101,LunchTable[],4,FALSE),0))</f>
        <v>0</v>
      </c>
    </row>
    <row r="97" spans="1:16" ht="18" thickBot="1" x14ac:dyDescent="0.35">
      <c r="A97" s="10" t="s">
        <v>34</v>
      </c>
      <c r="B97" s="11" t="s">
        <v>6</v>
      </c>
      <c r="C97" s="10" t="s">
        <v>34</v>
      </c>
      <c r="D97" s="11" t="s">
        <v>11</v>
      </c>
      <c r="E97" s="10" t="s">
        <v>34</v>
      </c>
      <c r="F97" s="11" t="s">
        <v>12</v>
      </c>
      <c r="G97" s="10" t="s">
        <v>34</v>
      </c>
      <c r="H97" s="12" t="s">
        <v>35</v>
      </c>
      <c r="I97" s="5" t="s">
        <v>41</v>
      </c>
      <c r="J97" s="5" t="s">
        <v>42</v>
      </c>
      <c r="K97" s="5" t="s">
        <v>43</v>
      </c>
      <c r="L97" s="45"/>
      <c r="M97" s="48" t="s">
        <v>12</v>
      </c>
      <c r="N97" s="48">
        <f>(E98 * IFERROR(VLOOKUP(F98,DinnerTable[],2,FALSE),0)) + (E99 * IFERROR(VLOOKUP(F99,DinnerTable[],2,FALSE),0)) + (E100 * IFERROR(VLOOKUP(F100,DinnerTable[],2,FALSE),0)) + (E101 * IFERROR(VLOOKUP(F101,DinnerTable[],2,FALSE),0))</f>
        <v>23</v>
      </c>
      <c r="O97" s="48">
        <f>(E98 * IFERROR(VLOOKUP(F98,DinnerTable[],3,FALSE),0)) + (E99 * IFERROR(VLOOKUP(F99,DinnerTable[],3,FALSE),0)) + (E100 * IFERROR(VLOOKUP(F100,DinnerTable[],3,FALSE),0)) + (E101 * IFERROR(VLOOKUP(F101,DinnerTable[],3,FALSE),0))</f>
        <v>12</v>
      </c>
      <c r="P97" s="48">
        <f>(E98 * IFERROR(VLOOKUP(F98,DinnerTable[],4,FALSE),0)) + (E99 * IFERROR(VLOOKUP(F99,DinnerTable[],4,FALSE),0)) + (E100 * IFERROR(VLOOKUP(F100,DinnerTable[],4,FALSE),0)) + (E101 * IFERROR(VLOOKUP(F101,DinnerTable[],4,FALSE),0))</f>
        <v>53</v>
      </c>
    </row>
    <row r="98" spans="1:16" ht="15.75" thickTop="1" x14ac:dyDescent="0.25">
      <c r="A98" s="17">
        <v>1</v>
      </c>
      <c r="B98" s="17" t="s">
        <v>26</v>
      </c>
      <c r="C98" s="17"/>
      <c r="D98" s="17"/>
      <c r="E98" s="17">
        <v>2</v>
      </c>
      <c r="F98" s="17" t="s">
        <v>29</v>
      </c>
      <c r="G98" s="17"/>
      <c r="H98" s="17"/>
      <c r="I98" s="2">
        <v>50</v>
      </c>
      <c r="J98" s="2">
        <v>46</v>
      </c>
      <c r="K98" s="2">
        <v>76</v>
      </c>
      <c r="L98" s="45"/>
      <c r="M98" s="48" t="s">
        <v>35</v>
      </c>
      <c r="N98" s="48">
        <f>(G98 * IFERROR(VLOOKUP(H98,PostWorkoutTable[],2,FALSE),0)) + (G99 * IFERROR(VLOOKUP(H99,PostWorkoutTable[],2,FALSE),0)) + (G100 * IFERROR(VLOOKUP(H100,PostWorkoutTable[],2,FALSE),0)) + (G101 * IFERROR(VLOOKUP(H101,PostWorkoutTable[],2,FALSE),0))</f>
        <v>0</v>
      </c>
      <c r="O98" s="48">
        <f>(G98 * IFERROR(VLOOKUP(H98,PostWorkoutTable[],3,FALSE),0)) + (G99 * IFERROR(VLOOKUP(H99,PostWorkoutTable[],3,FALSE),0)) + (G100 * IFERROR(VLOOKUP(H100,PostWorkoutTable[],3,FALSE),0)) + (G101 * IFERROR(VLOOKUP(H101,PostWorkoutTable[],3,FALSE),0))</f>
        <v>0</v>
      </c>
      <c r="P98" s="48">
        <f>(G98 * IFERROR(VLOOKUP(H98,PostWorkoutTable[],4,FALSE),0)) + (G99 * IFERROR(VLOOKUP(H99,PostWorkoutTable[],4,FALSE),0)) + (G100 * IFERROR(VLOOKUP(H100,PostWorkoutTable[],4,FALSE),0)) + (G101 * IFERROR(VLOOKUP(H101,PostWorkoutTable[],4,FALSE),0))</f>
        <v>0</v>
      </c>
    </row>
    <row r="99" spans="1:16" x14ac:dyDescent="0.25">
      <c r="A99" s="17"/>
      <c r="B99" s="17"/>
      <c r="C99" s="17"/>
      <c r="D99" s="17"/>
      <c r="E99" s="17">
        <v>1</v>
      </c>
      <c r="F99" s="17" t="s">
        <v>23</v>
      </c>
      <c r="G99" s="17"/>
      <c r="H99" s="17"/>
      <c r="I99" s="2">
        <v>4.5</v>
      </c>
      <c r="J99" s="2">
        <v>2.1</v>
      </c>
      <c r="K99" s="2">
        <v>22</v>
      </c>
      <c r="L99" s="45"/>
      <c r="M99" s="48" t="s">
        <v>21</v>
      </c>
      <c r="N99" s="48">
        <f xml:space="preserve"> SUM(I98:I101)</f>
        <v>54.5</v>
      </c>
      <c r="O99" s="48">
        <f>SUM(J98:J101)</f>
        <v>48.1</v>
      </c>
      <c r="P99" s="48">
        <f>SUM(K98:K101)</f>
        <v>98</v>
      </c>
    </row>
    <row r="100" spans="1:16" x14ac:dyDescent="0.25">
      <c r="A100" s="17"/>
      <c r="B100" s="17"/>
      <c r="C100" s="17"/>
      <c r="D100" s="17"/>
      <c r="E100" s="17"/>
      <c r="F100" s="17"/>
      <c r="G100" s="17"/>
      <c r="H100" s="17"/>
      <c r="I100" s="2"/>
      <c r="J100" s="2"/>
      <c r="K100" s="2"/>
      <c r="L100" s="45"/>
      <c r="M100" s="48" t="s">
        <v>38</v>
      </c>
      <c r="N100" s="48">
        <f>SUM(N95:N99)</f>
        <v>97.5</v>
      </c>
      <c r="O100" s="48">
        <f>SUM(O95:O99)</f>
        <v>69.099999999999994</v>
      </c>
      <c r="P100" s="48">
        <f>SUM(P95:P99)</f>
        <v>181</v>
      </c>
    </row>
    <row r="101" spans="1:16" x14ac:dyDescent="0.25">
      <c r="A101" s="17"/>
      <c r="B101" s="17"/>
      <c r="C101" s="17"/>
      <c r="D101" s="17"/>
      <c r="E101" s="17"/>
      <c r="F101" s="17"/>
      <c r="G101" s="17"/>
      <c r="H101" s="17"/>
      <c r="I101" s="2"/>
      <c r="J101" s="2"/>
      <c r="K101" s="2"/>
      <c r="L101" s="45"/>
      <c r="M101" s="45"/>
      <c r="N101" s="45"/>
      <c r="O101" s="45"/>
      <c r="P101" s="45"/>
    </row>
    <row r="102" spans="1:16" x14ac:dyDescent="0.25">
      <c r="A102" s="45"/>
      <c r="B102" s="45"/>
      <c r="C102" s="45"/>
      <c r="D102" s="45"/>
      <c r="E102" s="45"/>
      <c r="F102" s="45"/>
      <c r="G102" s="45"/>
      <c r="H102" s="45"/>
      <c r="I102" s="45"/>
      <c r="J102" s="45"/>
      <c r="K102" s="45"/>
      <c r="L102" s="45"/>
      <c r="M102" s="45"/>
      <c r="N102" s="45"/>
      <c r="O102" s="45"/>
      <c r="P102" s="45"/>
    </row>
    <row r="103" spans="1:16" ht="23.25" x14ac:dyDescent="0.35">
      <c r="A103" s="49">
        <v>43535</v>
      </c>
      <c r="B103" s="45"/>
      <c r="C103" s="45"/>
      <c r="D103" s="45"/>
      <c r="E103" s="45"/>
      <c r="F103" s="45"/>
      <c r="G103" s="45"/>
      <c r="H103" s="45"/>
      <c r="I103" s="45"/>
      <c r="J103" s="45"/>
      <c r="K103" s="45"/>
      <c r="L103" s="45"/>
      <c r="M103" s="45"/>
      <c r="N103" s="45"/>
      <c r="O103" s="45"/>
      <c r="P103" s="45"/>
    </row>
    <row r="104" spans="1:16" ht="18" thickBot="1" x14ac:dyDescent="0.35">
      <c r="A104" s="3" t="s">
        <v>48</v>
      </c>
      <c r="B104" s="3" t="s">
        <v>0</v>
      </c>
      <c r="C104" s="3" t="s">
        <v>36</v>
      </c>
      <c r="D104" s="3" t="s">
        <v>8</v>
      </c>
      <c r="E104" s="5" t="s">
        <v>9</v>
      </c>
      <c r="F104" s="5" t="s">
        <v>10</v>
      </c>
      <c r="G104" s="46"/>
      <c r="H104" s="47"/>
      <c r="I104" s="45"/>
      <c r="J104" s="45"/>
      <c r="K104" s="45"/>
      <c r="L104" s="45"/>
      <c r="M104" s="46"/>
      <c r="N104" s="48" t="s">
        <v>8</v>
      </c>
      <c r="O104" s="48" t="s">
        <v>9</v>
      </c>
      <c r="P104" s="48" t="s">
        <v>10</v>
      </c>
    </row>
    <row r="105" spans="1:16" ht="15.75" thickTop="1" x14ac:dyDescent="0.25">
      <c r="A105" s="18">
        <v>43535</v>
      </c>
      <c r="B105" s="16">
        <f>IFERROR(VLOOKUP(A105,OverviewTable[],2,FALSE),"?")</f>
        <v>129.4</v>
      </c>
      <c r="C105" s="16" t="str">
        <f>((N110 * 4) + (O110 * 9) + (P110 * 4))&amp;"/"&amp;IFERROR(VLOOKUP(A105,OverviewTable[],11,FALSE),"?")</f>
        <v>3335.4/2320.4</v>
      </c>
      <c r="D105" s="16" t="str">
        <f>N110&amp;"/"&amp;IFERROR(VLOOKUP(A105,OverviewTable[],12,FALSE),"?")</f>
        <v>163.68/129</v>
      </c>
      <c r="E105" s="16" t="str">
        <f>O110&amp;"/"&amp;IFERROR(VLOOKUP(A105,OverviewTable[],13,FALSE),"?")</f>
        <v>140.84/64</v>
      </c>
      <c r="F105" s="16" t="str">
        <f>P110&amp;"/"&amp;IFERROR(VLOOKUP(A105,OverviewTable[],14,FALSE),"?")</f>
        <v>353.28/307</v>
      </c>
      <c r="G105" s="47"/>
      <c r="H105" s="47"/>
      <c r="I105" s="45"/>
      <c r="J105" s="45"/>
      <c r="K105" s="45"/>
      <c r="L105" s="45"/>
      <c r="M105" s="48" t="s">
        <v>6</v>
      </c>
      <c r="N105" s="48">
        <f>(A108 * IFERROR(VLOOKUP(B108,BreakfastTable[],2,FALSE),0)) + (A109 * IFERROR(VLOOKUP(B109,BreakfastTable[],2,FALSE),0)) + (A110 * IFERROR(VLOOKUP(B110,BreakfastTable[],2,FALSE),0)) + (A111 * IFERROR(VLOOKUP(B111,BreakfastTable[],2,FALSE),0))</f>
        <v>32.200000000000003</v>
      </c>
      <c r="O105" s="48">
        <f>(A108 * IFERROR(VLOOKUP(B108,BreakfastTable[],3,FALSE),0)) + (A109 * IFERROR(VLOOKUP(B109,BreakfastTable[],3,FALSE),0)) + (A110 * IFERROR(VLOOKUP(B110,BreakfastTable[],3,FALSE),0)) + (A111 * IFERROR(VLOOKUP(B111,BreakfastTable[],3,FALSE),0))</f>
        <v>14.7</v>
      </c>
      <c r="P105" s="48">
        <f>(A108 * IFERROR(VLOOKUP(B108,BreakfastTable[],4,FALSE),0)) + (A109 * IFERROR(VLOOKUP(B109,BreakfastTable[],4,FALSE),0)) + (A110 * IFERROR(VLOOKUP(B110,BreakfastTable[],4,FALSE),0)) + (A111 * IFERROR(VLOOKUP(B111,BreakfastTable[],4,FALSE),0))</f>
        <v>55.4</v>
      </c>
    </row>
    <row r="106" spans="1:16" x14ac:dyDescent="0.25">
      <c r="A106" s="17"/>
      <c r="B106" s="17"/>
      <c r="C106" s="17"/>
      <c r="D106" s="17"/>
      <c r="E106" s="17"/>
      <c r="F106" s="17"/>
      <c r="G106" s="47"/>
      <c r="H106" s="47"/>
      <c r="I106" s="45"/>
      <c r="J106" s="45"/>
      <c r="K106" s="45"/>
      <c r="L106" s="45"/>
      <c r="M106" s="48" t="s">
        <v>11</v>
      </c>
      <c r="N106" s="48">
        <f>(C108 * IFERROR(VLOOKUP(D108,LunchTable[],2,FALSE),0)) + (C109 * IFERROR(VLOOKUP(D109,LunchTable[],2,FALSE),0)) + (C110 * IFERROR(VLOOKUP(D110,LunchTable[],2,FALSE),0)) + (C111 * IFERROR(VLOOKUP(D111,LunchTable[],2,FALSE),0))</f>
        <v>35</v>
      </c>
      <c r="O106" s="48">
        <f>(C108 * IFERROR(VLOOKUP(D108,LunchTable[],3,FALSE),0)) + (C109 * IFERROR(VLOOKUP(D109,LunchTable[],3,FALSE),0)) + (C110 * IFERROR(VLOOKUP(D110,LunchTable[],3,FALSE),0)) + (C111 * IFERROR(VLOOKUP(D111,LunchTable[],3,FALSE),0))</f>
        <v>50</v>
      </c>
      <c r="P106" s="48">
        <f>(C108 * IFERROR(VLOOKUP(D108,LunchTable[],4,FALSE),0)) + (C109 * IFERROR(VLOOKUP(D109,LunchTable[],4,FALSE),0)) + (C110 * IFERROR(VLOOKUP(D110,LunchTable[],4,FALSE),0)) + (C111 * IFERROR(VLOOKUP(D111,LunchTable[],4,FALSE),0))</f>
        <v>60</v>
      </c>
    </row>
    <row r="107" spans="1:16" ht="18" thickBot="1" x14ac:dyDescent="0.35">
      <c r="A107" s="10" t="s">
        <v>34</v>
      </c>
      <c r="B107" s="11" t="s">
        <v>6</v>
      </c>
      <c r="C107" s="10" t="s">
        <v>34</v>
      </c>
      <c r="D107" s="11" t="s">
        <v>11</v>
      </c>
      <c r="E107" s="10" t="s">
        <v>34</v>
      </c>
      <c r="F107" s="11" t="s">
        <v>12</v>
      </c>
      <c r="G107" s="10" t="s">
        <v>34</v>
      </c>
      <c r="H107" s="12" t="s">
        <v>35</v>
      </c>
      <c r="I107" s="5" t="s">
        <v>41</v>
      </c>
      <c r="J107" s="5" t="s">
        <v>42</v>
      </c>
      <c r="K107" s="5" t="s">
        <v>43</v>
      </c>
      <c r="L107" s="45"/>
      <c r="M107" s="48" t="s">
        <v>12</v>
      </c>
      <c r="N107" s="48">
        <f>(E108 * IFERROR(VLOOKUP(F108,DinnerTable[],2,FALSE),0)) + (E109 * IFERROR(VLOOKUP(F109,DinnerTable[],2,FALSE),0)) + (E110 * IFERROR(VLOOKUP(F110,DinnerTable[],2,FALSE),0)) + (E111 * IFERROR(VLOOKUP(F111,DinnerTable[],2,FALSE),0))</f>
        <v>76.48</v>
      </c>
      <c r="O107" s="48">
        <f>(E108 * IFERROR(VLOOKUP(F108,DinnerTable[],3,FALSE),0)) + (E109 * IFERROR(VLOOKUP(F109,DinnerTable[],3,FALSE),0)) + (E110 * IFERROR(VLOOKUP(F110,DinnerTable[],3,FALSE),0)) + (E111 * IFERROR(VLOOKUP(F111,DinnerTable[],3,FALSE),0))</f>
        <v>67.14</v>
      </c>
      <c r="P107" s="48">
        <f>(E108 * IFERROR(VLOOKUP(F108,DinnerTable[],4,FALSE),0)) + (E109 * IFERROR(VLOOKUP(F109,DinnerTable[],4,FALSE),0)) + (E110 * IFERROR(VLOOKUP(F110,DinnerTable[],4,FALSE),0)) + (E111 * IFERROR(VLOOKUP(F111,DinnerTable[],4,FALSE),0))</f>
        <v>207.88</v>
      </c>
    </row>
    <row r="108" spans="1:16" ht="15.75" thickTop="1" x14ac:dyDescent="0.25">
      <c r="A108" s="17">
        <v>1</v>
      </c>
      <c r="B108" s="17" t="s">
        <v>97</v>
      </c>
      <c r="C108" s="17">
        <v>0.5</v>
      </c>
      <c r="D108" s="17" t="s">
        <v>28</v>
      </c>
      <c r="E108" s="17">
        <v>0.5</v>
      </c>
      <c r="F108" s="17" t="s">
        <v>45</v>
      </c>
      <c r="G108" s="17">
        <v>1</v>
      </c>
      <c r="H108" s="17" t="s">
        <v>26</v>
      </c>
      <c r="I108" s="2"/>
      <c r="J108" s="2"/>
      <c r="K108" s="2"/>
      <c r="L108" s="45"/>
      <c r="M108" s="48" t="s">
        <v>35</v>
      </c>
      <c r="N108" s="48">
        <f>(G108 * IFERROR(VLOOKUP(H108,PostWorkoutTable[],2,FALSE),0)) + (G109 * IFERROR(VLOOKUP(H109,PostWorkoutTable[],2,FALSE),0)) + (G110 * IFERROR(VLOOKUP(H110,PostWorkoutTable[],2,FALSE),0)) + (G111 * IFERROR(VLOOKUP(H111,PostWorkoutTable[],2,FALSE),0))</f>
        <v>20</v>
      </c>
      <c r="O108" s="48">
        <f>(G108 * IFERROR(VLOOKUP(H108,PostWorkoutTable[],3,FALSE),0)) + (G109 * IFERROR(VLOOKUP(H109,PostWorkoutTable[],3,FALSE),0)) + (G110 * IFERROR(VLOOKUP(H110,PostWorkoutTable[],3,FALSE),0)) + (G111 * IFERROR(VLOOKUP(H111,PostWorkoutTable[],3,FALSE),0))</f>
        <v>9</v>
      </c>
      <c r="P108" s="48">
        <f>(G108 * IFERROR(VLOOKUP(H108,PostWorkoutTable[],4,FALSE),0)) + (G109 * IFERROR(VLOOKUP(H109,PostWorkoutTable[],4,FALSE),0)) + (G110 * IFERROR(VLOOKUP(H110,PostWorkoutTable[],4,FALSE),0)) + (G111 * IFERROR(VLOOKUP(H111,PostWorkoutTable[],4,FALSE),0))</f>
        <v>30</v>
      </c>
    </row>
    <row r="109" spans="1:16" x14ac:dyDescent="0.25">
      <c r="A109" s="17"/>
      <c r="B109" s="17"/>
      <c r="C109" s="17"/>
      <c r="D109" s="17"/>
      <c r="E109" s="17">
        <v>1</v>
      </c>
      <c r="F109" s="17" t="s">
        <v>56</v>
      </c>
      <c r="G109" s="17"/>
      <c r="H109" s="17"/>
      <c r="I109" s="2"/>
      <c r="J109" s="2"/>
      <c r="K109" s="2"/>
      <c r="L109" s="45"/>
      <c r="M109" s="48" t="s">
        <v>21</v>
      </c>
      <c r="N109" s="48">
        <f xml:space="preserve"> SUM(I108:I111)</f>
        <v>0</v>
      </c>
      <c r="O109" s="48">
        <f>SUM(J108:J111)</f>
        <v>0</v>
      </c>
      <c r="P109" s="48">
        <f>SUM(K108:K111)</f>
        <v>0</v>
      </c>
    </row>
    <row r="110" spans="1:16" x14ac:dyDescent="0.25">
      <c r="A110" s="17"/>
      <c r="B110" s="17"/>
      <c r="C110" s="17"/>
      <c r="D110" s="17"/>
      <c r="E110" s="17">
        <v>2</v>
      </c>
      <c r="F110" s="17" t="s">
        <v>68</v>
      </c>
      <c r="G110" s="17"/>
      <c r="H110" s="17"/>
      <c r="I110" s="2"/>
      <c r="J110" s="2"/>
      <c r="K110" s="2"/>
      <c r="L110" s="45"/>
      <c r="M110" s="48" t="s">
        <v>38</v>
      </c>
      <c r="N110" s="48">
        <f>SUM(N105:N109)</f>
        <v>163.68</v>
      </c>
      <c r="O110" s="48">
        <f>SUM(O105:O109)</f>
        <v>140.84</v>
      </c>
      <c r="P110" s="48">
        <f>SUM(P105:P109)</f>
        <v>353.28</v>
      </c>
    </row>
    <row r="111" spans="1:16" x14ac:dyDescent="0.25">
      <c r="A111" s="17"/>
      <c r="B111" s="17"/>
      <c r="C111" s="17"/>
      <c r="D111" s="17"/>
      <c r="E111" s="17">
        <v>0.33</v>
      </c>
      <c r="F111" s="17" t="s">
        <v>44</v>
      </c>
      <c r="G111" s="17"/>
      <c r="H111" s="17"/>
      <c r="I111" s="2"/>
      <c r="J111" s="2"/>
      <c r="K111" s="2"/>
      <c r="L111" s="45"/>
      <c r="M111" s="45"/>
      <c r="N111" s="45"/>
      <c r="O111" s="45"/>
      <c r="P111" s="45"/>
    </row>
    <row r="112" spans="1:16" x14ac:dyDescent="0.25">
      <c r="A112" s="45"/>
      <c r="B112" s="45"/>
      <c r="C112" s="45"/>
      <c r="D112" s="45"/>
      <c r="E112" s="45"/>
      <c r="F112" s="45"/>
      <c r="G112" s="45"/>
      <c r="H112" s="45"/>
      <c r="I112" s="45"/>
      <c r="J112" s="45"/>
      <c r="K112" s="45"/>
      <c r="L112" s="45"/>
      <c r="M112" s="45"/>
      <c r="N112" s="45"/>
      <c r="O112" s="45"/>
      <c r="P112" s="45"/>
    </row>
    <row r="113" spans="1:16" ht="23.25" x14ac:dyDescent="0.35">
      <c r="A113" s="49">
        <v>43536</v>
      </c>
      <c r="B113" s="45"/>
      <c r="C113" s="45"/>
      <c r="D113" s="45"/>
      <c r="E113" s="45"/>
      <c r="F113" s="45"/>
      <c r="G113" s="45"/>
      <c r="H113" s="45"/>
      <c r="I113" s="45"/>
      <c r="J113" s="45"/>
      <c r="K113" s="45"/>
      <c r="L113" s="45"/>
      <c r="M113" s="45"/>
      <c r="N113" s="45"/>
      <c r="O113" s="45"/>
      <c r="P113" s="45"/>
    </row>
    <row r="114" spans="1:16" ht="18" thickBot="1" x14ac:dyDescent="0.35">
      <c r="A114" s="3" t="s">
        <v>48</v>
      </c>
      <c r="B114" s="3" t="s">
        <v>0</v>
      </c>
      <c r="C114" s="3" t="s">
        <v>36</v>
      </c>
      <c r="D114" s="3" t="s">
        <v>8</v>
      </c>
      <c r="E114" s="5" t="s">
        <v>9</v>
      </c>
      <c r="F114" s="5" t="s">
        <v>10</v>
      </c>
      <c r="G114" s="46"/>
      <c r="H114" s="47"/>
      <c r="I114" s="45"/>
      <c r="J114" s="45"/>
      <c r="K114" s="45"/>
      <c r="L114" s="45"/>
      <c r="M114" s="46"/>
      <c r="N114" s="48" t="s">
        <v>8</v>
      </c>
      <c r="O114" s="48" t="s">
        <v>9</v>
      </c>
      <c r="P114" s="48" t="s">
        <v>10</v>
      </c>
    </row>
    <row r="115" spans="1:16" ht="15.75" thickTop="1" x14ac:dyDescent="0.25">
      <c r="A115" s="18">
        <v>43535</v>
      </c>
      <c r="B115" s="16">
        <f>IFERROR(VLOOKUP(A115,OverviewTable[],2,FALSE),"?")</f>
        <v>129.4</v>
      </c>
      <c r="C115" s="16" t="str">
        <f>((N120 * 4) + (O120 * 9) + (P120 * 4))&amp;"/"&amp;IFERROR(VLOOKUP(A115,OverviewTable[],11,FALSE),"?")</f>
        <v>2376.9/2320.4</v>
      </c>
      <c r="D115" s="16" t="str">
        <f>N120&amp;"/"&amp;IFERROR(VLOOKUP(A115,OverviewTable[],12,FALSE),"?")</f>
        <v>111.68/129</v>
      </c>
      <c r="E115" s="16" t="str">
        <f>O120&amp;"/"&amp;IFERROR(VLOOKUP(A115,OverviewTable[],13,FALSE),"?")</f>
        <v>47.14/64</v>
      </c>
      <c r="F115" s="16" t="str">
        <f>P120&amp;"/"&amp;IFERROR(VLOOKUP(A115,OverviewTable[],14,FALSE),"?")</f>
        <v>376.48/307</v>
      </c>
      <c r="G115" s="47"/>
      <c r="H115" s="47"/>
      <c r="I115" s="45"/>
      <c r="J115" s="45"/>
      <c r="K115" s="45"/>
      <c r="L115" s="45"/>
      <c r="M115" s="48" t="s">
        <v>6</v>
      </c>
      <c r="N115" s="48">
        <f>(A118 * IFERROR(VLOOKUP(B118,BreakfastTable[],2,FALSE),0)) + (A119 * IFERROR(VLOOKUP(B119,BreakfastTable[],2,FALSE),0)) + (A120 * IFERROR(VLOOKUP(B120,BreakfastTable[],2,FALSE),0)) + (A121 * IFERROR(VLOOKUP(B121,BreakfastTable[],2,FALSE),0))</f>
        <v>12.6</v>
      </c>
      <c r="O115" s="48">
        <f>(A118 * IFERROR(VLOOKUP(B118,BreakfastTable[],3,FALSE),0)) + (A119 * IFERROR(VLOOKUP(B119,BreakfastTable[],3,FALSE),0)) + (A120 * IFERROR(VLOOKUP(B120,BreakfastTable[],3,FALSE),0)) + (A121 * IFERROR(VLOOKUP(B121,BreakfastTable[],3,FALSE),0))</f>
        <v>9</v>
      </c>
      <c r="P115" s="48">
        <f>(A118 * IFERROR(VLOOKUP(B118,BreakfastTable[],4,FALSE),0)) + (A119 * IFERROR(VLOOKUP(B119,BreakfastTable[],4,FALSE),0)) + (A120 * IFERROR(VLOOKUP(B120,BreakfastTable[],4,FALSE),0)) + (A121 * IFERROR(VLOOKUP(B121,BreakfastTable[],4,FALSE),0))</f>
        <v>91.3</v>
      </c>
    </row>
    <row r="116" spans="1:16" x14ac:dyDescent="0.25">
      <c r="A116" s="17"/>
      <c r="B116" s="17"/>
      <c r="C116" s="17"/>
      <c r="D116" s="17"/>
      <c r="E116" s="17"/>
      <c r="F116" s="17"/>
      <c r="G116" s="47"/>
      <c r="H116" s="47"/>
      <c r="I116" s="45"/>
      <c r="J116" s="45"/>
      <c r="K116" s="45"/>
      <c r="L116" s="45"/>
      <c r="M116" s="48" t="s">
        <v>11</v>
      </c>
      <c r="N116" s="48">
        <f>(C118 * IFERROR(VLOOKUP(D118,LunchTable[],2,FALSE),0)) + (C119 * IFERROR(VLOOKUP(D119,LunchTable[],2,FALSE),0)) + (C120 * IFERROR(VLOOKUP(D120,LunchTable[],2,FALSE),0)) + (C121 * IFERROR(VLOOKUP(D121,LunchTable[],2,FALSE),0))</f>
        <v>60.480000000000004</v>
      </c>
      <c r="O116" s="48">
        <f>(C118 * IFERROR(VLOOKUP(D118,LunchTable[],3,FALSE),0)) + (C119 * IFERROR(VLOOKUP(D119,LunchTable[],3,FALSE),0)) + (C120 * IFERROR(VLOOKUP(D120,LunchTable[],3,FALSE),0)) + (C121 * IFERROR(VLOOKUP(D121,LunchTable[],3,FALSE),0))</f>
        <v>36.64</v>
      </c>
      <c r="P116" s="48">
        <f>(C118 * IFERROR(VLOOKUP(D118,LunchTable[],4,FALSE),0)) + (C119 * IFERROR(VLOOKUP(D119,LunchTable[],4,FALSE),0)) + (C120 * IFERROR(VLOOKUP(D120,LunchTable[],4,FALSE),0)) + (C121 * IFERROR(VLOOKUP(D121,LunchTable[],4,FALSE),0))</f>
        <v>110.88000000000001</v>
      </c>
    </row>
    <row r="117" spans="1:16" ht="18" thickBot="1" x14ac:dyDescent="0.35">
      <c r="A117" s="10" t="s">
        <v>34</v>
      </c>
      <c r="B117" s="11" t="s">
        <v>6</v>
      </c>
      <c r="C117" s="10" t="s">
        <v>34</v>
      </c>
      <c r="D117" s="11" t="s">
        <v>11</v>
      </c>
      <c r="E117" s="10" t="s">
        <v>34</v>
      </c>
      <c r="F117" s="11" t="s">
        <v>12</v>
      </c>
      <c r="G117" s="10" t="s">
        <v>34</v>
      </c>
      <c r="H117" s="12" t="s">
        <v>35</v>
      </c>
      <c r="I117" s="5" t="s">
        <v>41</v>
      </c>
      <c r="J117" s="5" t="s">
        <v>42</v>
      </c>
      <c r="K117" s="5" t="s">
        <v>43</v>
      </c>
      <c r="L117" s="45"/>
      <c r="M117" s="48" t="s">
        <v>12</v>
      </c>
      <c r="N117" s="48">
        <f>(E118 * IFERROR(VLOOKUP(F118,DinnerTable[],2,FALSE),0)) + (E119 * IFERROR(VLOOKUP(F119,DinnerTable[],2,FALSE),0)) + (E120 * IFERROR(VLOOKUP(F120,DinnerTable[],2,FALSE),0)) + (E121 * IFERROR(VLOOKUP(F121,DinnerTable[],2,FALSE),0))</f>
        <v>37</v>
      </c>
      <c r="O117" s="48">
        <f>(E118 * IFERROR(VLOOKUP(F118,DinnerTable[],3,FALSE),0)) + (E119 * IFERROR(VLOOKUP(F119,DinnerTable[],3,FALSE),0)) + (E120 * IFERROR(VLOOKUP(F120,DinnerTable[],3,FALSE),0)) + (E121 * IFERROR(VLOOKUP(F121,DinnerTable[],3,FALSE),0))</f>
        <v>1</v>
      </c>
      <c r="P117" s="48">
        <f>(E118 * IFERROR(VLOOKUP(F118,DinnerTable[],4,FALSE),0)) + (E119 * IFERROR(VLOOKUP(F119,DinnerTable[],4,FALSE),0)) + (E120 * IFERROR(VLOOKUP(F120,DinnerTable[],4,FALSE),0)) + (E121 * IFERROR(VLOOKUP(F121,DinnerTable[],4,FALSE),0))</f>
        <v>140</v>
      </c>
    </row>
    <row r="118" spans="1:16" ht="15.75" thickTop="1" x14ac:dyDescent="0.25">
      <c r="A118" s="17">
        <v>1</v>
      </c>
      <c r="B118" s="17" t="s">
        <v>107</v>
      </c>
      <c r="C118" s="17">
        <v>0.5</v>
      </c>
      <c r="D118" s="17" t="s">
        <v>45</v>
      </c>
      <c r="E118" s="17">
        <v>1</v>
      </c>
      <c r="F118" s="17" t="s">
        <v>50</v>
      </c>
      <c r="G118" s="17">
        <v>1</v>
      </c>
      <c r="H118" s="17" t="s">
        <v>27</v>
      </c>
      <c r="I118" s="2"/>
      <c r="J118" s="2"/>
      <c r="K118" s="2"/>
      <c r="L118" s="45"/>
      <c r="M118" s="48" t="s">
        <v>35</v>
      </c>
      <c r="N118" s="48">
        <f>(G118 * IFERROR(VLOOKUP(H118,PostWorkoutTable[],2,FALSE),0)) + (G119 * IFERROR(VLOOKUP(H119,PostWorkoutTable[],2,FALSE),0)) + (G120 * IFERROR(VLOOKUP(H120,PostWorkoutTable[],2,FALSE),0)) + (G121 * IFERROR(VLOOKUP(H121,PostWorkoutTable[],2,FALSE),0))</f>
        <v>1.6</v>
      </c>
      <c r="O118" s="48">
        <f>(G118 * IFERROR(VLOOKUP(H118,PostWorkoutTable[],3,FALSE),0)) + (G119 * IFERROR(VLOOKUP(H119,PostWorkoutTable[],3,FALSE),0)) + (G120 * IFERROR(VLOOKUP(H120,PostWorkoutTable[],3,FALSE),0)) + (G121 * IFERROR(VLOOKUP(H121,PostWorkoutTable[],3,FALSE),0))</f>
        <v>0.5</v>
      </c>
      <c r="P118" s="48">
        <f>(G118 * IFERROR(VLOOKUP(H118,PostWorkoutTable[],4,FALSE),0)) + (G119 * IFERROR(VLOOKUP(H119,PostWorkoutTable[],4,FALSE),0)) + (G120 * IFERROR(VLOOKUP(H120,PostWorkoutTable[],4,FALSE),0)) + (G121 * IFERROR(VLOOKUP(H121,PostWorkoutTable[],4,FALSE),0))</f>
        <v>34.299999999999997</v>
      </c>
    </row>
    <row r="119" spans="1:16" x14ac:dyDescent="0.25">
      <c r="A119" s="17">
        <v>1</v>
      </c>
      <c r="B119" s="17" t="s">
        <v>64</v>
      </c>
      <c r="C119" s="17">
        <v>1</v>
      </c>
      <c r="D119" s="17" t="s">
        <v>56</v>
      </c>
      <c r="E119" s="17">
        <v>1</v>
      </c>
      <c r="F119" s="17" t="s">
        <v>99</v>
      </c>
      <c r="G119" s="17"/>
      <c r="H119" s="17"/>
      <c r="I119" s="2"/>
      <c r="J119" s="2"/>
      <c r="K119" s="2"/>
      <c r="L119" s="45"/>
      <c r="M119" s="48" t="s">
        <v>21</v>
      </c>
      <c r="N119" s="48">
        <f xml:space="preserve"> SUM(I118:I121)</f>
        <v>0</v>
      </c>
      <c r="O119" s="48">
        <f>SUM(J118:J121)</f>
        <v>0</v>
      </c>
      <c r="P119" s="48">
        <f>SUM(K118:K121)</f>
        <v>0</v>
      </c>
    </row>
    <row r="120" spans="1:16" x14ac:dyDescent="0.25">
      <c r="A120" s="17">
        <v>1</v>
      </c>
      <c r="B120" s="17" t="s">
        <v>27</v>
      </c>
      <c r="C120" s="17">
        <v>0.33</v>
      </c>
      <c r="D120" s="17" t="s">
        <v>44</v>
      </c>
      <c r="E120" s="17"/>
      <c r="F120" s="17"/>
      <c r="G120" s="17"/>
      <c r="H120" s="17"/>
      <c r="I120" s="2"/>
      <c r="J120" s="2"/>
      <c r="K120" s="2"/>
      <c r="L120" s="45"/>
      <c r="M120" s="48" t="s">
        <v>38</v>
      </c>
      <c r="N120" s="48">
        <f>SUM(N115:N119)</f>
        <v>111.67999999999999</v>
      </c>
      <c r="O120" s="48">
        <f>SUM(O115:O119)</f>
        <v>47.14</v>
      </c>
      <c r="P120" s="48">
        <f>SUM(P115:P119)</f>
        <v>376.48</v>
      </c>
    </row>
    <row r="121" spans="1:16" x14ac:dyDescent="0.25">
      <c r="A121" s="17"/>
      <c r="B121" s="17"/>
      <c r="C121" s="17"/>
      <c r="D121" s="17"/>
      <c r="E121" s="17"/>
      <c r="F121" s="17"/>
      <c r="G121" s="17"/>
      <c r="H121" s="17"/>
      <c r="I121" s="2"/>
      <c r="J121" s="2"/>
      <c r="K121" s="2"/>
      <c r="L121" s="45"/>
      <c r="M121" s="45"/>
      <c r="N121" s="45"/>
      <c r="O121" s="45"/>
      <c r="P121" s="45"/>
    </row>
    <row r="122" spans="1:16" x14ac:dyDescent="0.25">
      <c r="A122" s="45"/>
      <c r="B122" s="45"/>
      <c r="C122" s="45"/>
      <c r="D122" s="45"/>
      <c r="E122" s="45"/>
      <c r="F122" s="45"/>
      <c r="G122" s="45"/>
      <c r="H122" s="45"/>
      <c r="I122" s="45"/>
      <c r="J122" s="45"/>
      <c r="K122" s="45"/>
      <c r="L122" s="45"/>
      <c r="M122" s="45"/>
      <c r="N122" s="45"/>
      <c r="O122" s="45"/>
      <c r="P122" s="45"/>
    </row>
    <row r="123" spans="1:16" ht="23.25" x14ac:dyDescent="0.35">
      <c r="A123" s="49">
        <v>43537</v>
      </c>
      <c r="B123" s="45"/>
      <c r="C123" s="45"/>
      <c r="D123" s="45"/>
      <c r="E123" s="45"/>
      <c r="F123" s="45"/>
      <c r="G123" s="45"/>
      <c r="H123" s="45"/>
      <c r="I123" s="45"/>
      <c r="J123" s="45"/>
      <c r="K123" s="45"/>
      <c r="L123" s="45"/>
      <c r="M123" s="45"/>
      <c r="N123" s="45"/>
      <c r="O123" s="45"/>
      <c r="P123" s="45"/>
    </row>
    <row r="124" spans="1:16" ht="18" thickBot="1" x14ac:dyDescent="0.35">
      <c r="A124" s="3" t="s">
        <v>48</v>
      </c>
      <c r="B124" s="3" t="s">
        <v>0</v>
      </c>
      <c r="C124" s="3" t="s">
        <v>36</v>
      </c>
      <c r="D124" s="3" t="s">
        <v>8</v>
      </c>
      <c r="E124" s="5" t="s">
        <v>9</v>
      </c>
      <c r="F124" s="5" t="s">
        <v>10</v>
      </c>
      <c r="G124" s="46"/>
      <c r="H124" s="47"/>
      <c r="I124" s="45"/>
      <c r="J124" s="45"/>
      <c r="K124" s="45"/>
      <c r="L124" s="45"/>
      <c r="M124" s="46"/>
      <c r="N124" s="48" t="s">
        <v>8</v>
      </c>
      <c r="O124" s="48" t="s">
        <v>9</v>
      </c>
      <c r="P124" s="48" t="s">
        <v>10</v>
      </c>
    </row>
    <row r="125" spans="1:16" ht="15.75" thickTop="1" x14ac:dyDescent="0.25">
      <c r="A125" s="18">
        <v>43535</v>
      </c>
      <c r="B125" s="16">
        <f>IFERROR(VLOOKUP(A125,OverviewTable[],2,FALSE),"?")</f>
        <v>129.4</v>
      </c>
      <c r="C125" s="16" t="str">
        <f>((N130 * 4) + (O130 * 9) + (P130 * 4))&amp;"/"&amp;IFERROR(VLOOKUP(A125,OverviewTable[],11,FALSE),"?")</f>
        <v>2224/2320.4</v>
      </c>
      <c r="D125" s="16" t="str">
        <f>N130&amp;"/"&amp;IFERROR(VLOOKUP(A125,OverviewTable[],12,FALSE),"?")</f>
        <v>126.5/129</v>
      </c>
      <c r="E125" s="16" t="str">
        <f>O130&amp;"/"&amp;IFERROR(VLOOKUP(A125,OverviewTable[],13,FALSE),"?")</f>
        <v>92/64</v>
      </c>
      <c r="F125" s="16" t="str">
        <f>P130&amp;"/"&amp;IFERROR(VLOOKUP(A125,OverviewTable[],14,FALSE),"?")</f>
        <v>222.5/307</v>
      </c>
      <c r="G125" s="47"/>
      <c r="H125" s="47"/>
      <c r="I125" s="45"/>
      <c r="J125" s="45"/>
      <c r="K125" s="45"/>
      <c r="L125" s="45"/>
      <c r="M125" s="48" t="s">
        <v>6</v>
      </c>
      <c r="N125" s="48">
        <f>(A128 * IFERROR(VLOOKUP(B128,BreakfastTable[],2,FALSE),0)) + (A129 * IFERROR(VLOOKUP(B129,BreakfastTable[],2,FALSE),0)) + (A130 * IFERROR(VLOOKUP(B130,BreakfastTable[],2,FALSE),0)) + (A131 * IFERROR(VLOOKUP(B131,BreakfastTable[],2,FALSE),0))</f>
        <v>2</v>
      </c>
      <c r="O125" s="48">
        <f>(A128 * IFERROR(VLOOKUP(B128,BreakfastTable[],3,FALSE),0)) + (A129 * IFERROR(VLOOKUP(B129,BreakfastTable[],3,FALSE),0)) + (A130 * IFERROR(VLOOKUP(B130,BreakfastTable[],3,FALSE),0)) + (A131 * IFERROR(VLOOKUP(B131,BreakfastTable[],3,FALSE),0))</f>
        <v>7</v>
      </c>
      <c r="P125" s="48">
        <f>(A128 * IFERROR(VLOOKUP(B128,BreakfastTable[],4,FALSE),0)) + (A129 * IFERROR(VLOOKUP(B129,BreakfastTable[],4,FALSE),0)) + (A130 * IFERROR(VLOOKUP(B130,BreakfastTable[],4,FALSE),0)) + (A131 * IFERROR(VLOOKUP(B131,BreakfastTable[],4,FALSE),0))</f>
        <v>2</v>
      </c>
    </row>
    <row r="126" spans="1:16" x14ac:dyDescent="0.25">
      <c r="A126" s="17"/>
      <c r="B126" s="17"/>
      <c r="C126" s="17"/>
      <c r="D126" s="17"/>
      <c r="E126" s="17"/>
      <c r="F126" s="17"/>
      <c r="G126" s="47"/>
      <c r="H126" s="47"/>
      <c r="I126" s="45"/>
      <c r="J126" s="45"/>
      <c r="K126" s="45"/>
      <c r="L126" s="45"/>
      <c r="M126" s="48" t="s">
        <v>11</v>
      </c>
      <c r="N126" s="48">
        <f>(C128 * IFERROR(VLOOKUP(D128,LunchTable[],2,FALSE),0)) + (C129 * IFERROR(VLOOKUP(D129,LunchTable[],2,FALSE),0)) + (C130 * IFERROR(VLOOKUP(D130,LunchTable[],2,FALSE),0)) + (C131 * IFERROR(VLOOKUP(D131,LunchTable[],2,FALSE),0))</f>
        <v>47</v>
      </c>
      <c r="O126" s="48">
        <f>(C128 * IFERROR(VLOOKUP(D128,LunchTable[],3,FALSE),0)) + (C129 * IFERROR(VLOOKUP(D129,LunchTable[],3,FALSE),0)) + (C130 * IFERROR(VLOOKUP(D130,LunchTable[],3,FALSE),0)) + (C131 * IFERROR(VLOOKUP(D131,LunchTable[],3,FALSE),0))</f>
        <v>36</v>
      </c>
      <c r="P126" s="48">
        <f>(C128 * IFERROR(VLOOKUP(D128,LunchTable[],4,FALSE),0)) + (C129 * IFERROR(VLOOKUP(D129,LunchTable[],4,FALSE),0)) + (C130 * IFERROR(VLOOKUP(D130,LunchTable[],4,FALSE),0)) + (C131 * IFERROR(VLOOKUP(D131,LunchTable[],4,FALSE),0))</f>
        <v>100.5</v>
      </c>
    </row>
    <row r="127" spans="1:16" ht="18" thickBot="1" x14ac:dyDescent="0.35">
      <c r="A127" s="10" t="s">
        <v>34</v>
      </c>
      <c r="B127" s="11" t="s">
        <v>6</v>
      </c>
      <c r="C127" s="10" t="s">
        <v>34</v>
      </c>
      <c r="D127" s="11" t="s">
        <v>11</v>
      </c>
      <c r="E127" s="10" t="s">
        <v>34</v>
      </c>
      <c r="F127" s="11" t="s">
        <v>12</v>
      </c>
      <c r="G127" s="10" t="s">
        <v>34</v>
      </c>
      <c r="H127" s="12" t="s">
        <v>35</v>
      </c>
      <c r="I127" s="5" t="s">
        <v>41</v>
      </c>
      <c r="J127" s="5" t="s">
        <v>42</v>
      </c>
      <c r="K127" s="5" t="s">
        <v>43</v>
      </c>
      <c r="L127" s="45"/>
      <c r="M127" s="48" t="s">
        <v>12</v>
      </c>
      <c r="N127" s="48">
        <f>(E128 * IFERROR(VLOOKUP(F128,DinnerTable[],2,FALSE),0)) + (E129 * IFERROR(VLOOKUP(F129,DinnerTable[],2,FALSE),0)) + (E130 * IFERROR(VLOOKUP(F130,DinnerTable[],2,FALSE),0)) + (E131 * IFERROR(VLOOKUP(F131,DinnerTable[],2,FALSE),0))</f>
        <v>70.5</v>
      </c>
      <c r="O127" s="48">
        <f>(E128 * IFERROR(VLOOKUP(F128,DinnerTable[],3,FALSE),0)) + (E129 * IFERROR(VLOOKUP(F129,DinnerTable[],3,FALSE),0)) + (E130 * IFERROR(VLOOKUP(F130,DinnerTable[],3,FALSE),0)) + (E131 * IFERROR(VLOOKUP(F131,DinnerTable[],3,FALSE),0))</f>
        <v>33</v>
      </c>
      <c r="P127" s="48">
        <f>(E128 * IFERROR(VLOOKUP(F128,DinnerTable[],4,FALSE),0)) + (E129 * IFERROR(VLOOKUP(F129,DinnerTable[],4,FALSE),0)) + (E130 * IFERROR(VLOOKUP(F130,DinnerTable[],4,FALSE),0)) + (E131 * IFERROR(VLOOKUP(F131,DinnerTable[],4,FALSE),0))</f>
        <v>112</v>
      </c>
    </row>
    <row r="128" spans="1:16" ht="15.75" thickTop="1" x14ac:dyDescent="0.25">
      <c r="A128" s="17">
        <v>1</v>
      </c>
      <c r="B128" s="17" t="s">
        <v>64</v>
      </c>
      <c r="C128" s="17">
        <v>1</v>
      </c>
      <c r="D128" s="17" t="s">
        <v>55</v>
      </c>
      <c r="E128" s="17">
        <v>1.5</v>
      </c>
      <c r="F128" s="17" t="s">
        <v>50</v>
      </c>
      <c r="G128" s="17"/>
      <c r="H128" s="17"/>
      <c r="I128" s="2">
        <v>7</v>
      </c>
      <c r="J128" s="2">
        <v>16</v>
      </c>
      <c r="K128" s="2">
        <v>8</v>
      </c>
      <c r="L128" s="45"/>
      <c r="M128" s="48" t="s">
        <v>35</v>
      </c>
      <c r="N128" s="48">
        <f>(G128 * IFERROR(VLOOKUP(H128,PostWorkoutTable[],2,FALSE),0)) + (G129 * IFERROR(VLOOKUP(H129,PostWorkoutTable[],2,FALSE),0)) + (G130 * IFERROR(VLOOKUP(H130,PostWorkoutTable[],2,FALSE),0)) + (G131 * IFERROR(VLOOKUP(H131,PostWorkoutTable[],2,FALSE),0))</f>
        <v>0</v>
      </c>
      <c r="O128" s="48">
        <f>(G128 * IFERROR(VLOOKUP(H128,PostWorkoutTable[],3,FALSE),0)) + (G129 * IFERROR(VLOOKUP(H129,PostWorkoutTable[],3,FALSE),0)) + (G130 * IFERROR(VLOOKUP(H130,PostWorkoutTable[],3,FALSE),0)) + (G131 * IFERROR(VLOOKUP(H131,PostWorkoutTable[],3,FALSE),0))</f>
        <v>0</v>
      </c>
      <c r="P128" s="48">
        <f>(G128 * IFERROR(VLOOKUP(H128,PostWorkoutTable[],4,FALSE),0)) + (G129 * IFERROR(VLOOKUP(H129,PostWorkoutTable[],4,FALSE),0)) + (G130 * IFERROR(VLOOKUP(H130,PostWorkoutTable[],4,FALSE),0)) + (G131 * IFERROR(VLOOKUP(H131,PostWorkoutTable[],4,FALSE),0))</f>
        <v>0</v>
      </c>
    </row>
    <row r="129" spans="1:16" x14ac:dyDescent="0.25">
      <c r="A129" s="17"/>
      <c r="B129" s="17"/>
      <c r="C129" s="17">
        <v>1</v>
      </c>
      <c r="D129" s="17" t="s">
        <v>25</v>
      </c>
      <c r="E129" s="17">
        <v>1.5</v>
      </c>
      <c r="F129" s="17" t="s">
        <v>65</v>
      </c>
      <c r="G129" s="17"/>
      <c r="H129" s="17"/>
      <c r="I129" s="2"/>
      <c r="J129" s="2"/>
      <c r="K129" s="2"/>
      <c r="L129" s="45"/>
      <c r="M129" s="48" t="s">
        <v>21</v>
      </c>
      <c r="N129" s="48">
        <f xml:space="preserve"> SUM(I128:I131)</f>
        <v>7</v>
      </c>
      <c r="O129" s="48">
        <f>SUM(J128:J131)</f>
        <v>16</v>
      </c>
      <c r="P129" s="48">
        <f>SUM(K128:K131)</f>
        <v>8</v>
      </c>
    </row>
    <row r="130" spans="1:16" x14ac:dyDescent="0.25">
      <c r="A130" s="17"/>
      <c r="B130" s="17"/>
      <c r="C130" s="17">
        <v>1</v>
      </c>
      <c r="D130" s="17" t="s">
        <v>100</v>
      </c>
      <c r="E130" s="17">
        <v>1.5</v>
      </c>
      <c r="F130" s="17" t="s">
        <v>66</v>
      </c>
      <c r="G130" s="17"/>
      <c r="H130" s="17"/>
      <c r="I130" s="2"/>
      <c r="J130" s="2"/>
      <c r="K130" s="2"/>
      <c r="L130" s="45"/>
      <c r="M130" s="48" t="s">
        <v>38</v>
      </c>
      <c r="N130" s="48">
        <f>SUM(N125:N129)</f>
        <v>126.5</v>
      </c>
      <c r="O130" s="48">
        <f>SUM(O125:O129)</f>
        <v>92</v>
      </c>
      <c r="P130" s="48">
        <f>SUM(P125:P129)</f>
        <v>222.5</v>
      </c>
    </row>
    <row r="131" spans="1:16" x14ac:dyDescent="0.25">
      <c r="A131" s="17"/>
      <c r="B131" s="17"/>
      <c r="C131" s="17"/>
      <c r="D131" s="17"/>
      <c r="E131" s="17">
        <v>0.5</v>
      </c>
      <c r="F131" s="17" t="s">
        <v>99</v>
      </c>
      <c r="G131" s="17"/>
      <c r="H131" s="17"/>
      <c r="I131" s="2"/>
      <c r="J131" s="2"/>
      <c r="K131" s="2"/>
      <c r="L131" s="45"/>
      <c r="M131" s="45"/>
      <c r="N131" s="45"/>
      <c r="O131" s="45"/>
      <c r="P131" s="45"/>
    </row>
    <row r="132" spans="1:16" x14ac:dyDescent="0.25">
      <c r="A132" s="45"/>
      <c r="B132" s="45"/>
      <c r="C132" s="45"/>
      <c r="D132" s="45"/>
      <c r="E132" s="45"/>
      <c r="F132" s="45"/>
      <c r="G132" s="45"/>
      <c r="H132" s="45"/>
      <c r="I132" s="45"/>
      <c r="J132" s="45"/>
      <c r="K132" s="45"/>
      <c r="L132" s="45"/>
      <c r="M132" s="45"/>
      <c r="N132" s="45"/>
      <c r="O132" s="45"/>
      <c r="P132" s="45"/>
    </row>
    <row r="133" spans="1:16" ht="23.25" x14ac:dyDescent="0.35">
      <c r="A133" s="49">
        <v>43538</v>
      </c>
      <c r="B133" s="45"/>
      <c r="C133" s="45"/>
      <c r="D133" s="45"/>
      <c r="E133" s="45"/>
      <c r="F133" s="45"/>
      <c r="G133" s="45"/>
      <c r="H133" s="45"/>
      <c r="I133" s="45"/>
      <c r="J133" s="45"/>
      <c r="K133" s="45"/>
      <c r="L133" s="45"/>
      <c r="M133" s="45"/>
      <c r="N133" s="45"/>
      <c r="O133" s="45"/>
      <c r="P133" s="45"/>
    </row>
    <row r="134" spans="1:16" ht="18" thickBot="1" x14ac:dyDescent="0.35">
      <c r="A134" s="3" t="s">
        <v>48</v>
      </c>
      <c r="B134" s="3" t="s">
        <v>0</v>
      </c>
      <c r="C134" s="3" t="s">
        <v>36</v>
      </c>
      <c r="D134" s="3" t="s">
        <v>8</v>
      </c>
      <c r="E134" s="5" t="s">
        <v>9</v>
      </c>
      <c r="F134" s="5" t="s">
        <v>10</v>
      </c>
      <c r="G134" s="46"/>
      <c r="H134" s="47"/>
      <c r="I134" s="45"/>
      <c r="J134" s="45"/>
      <c r="K134" s="45"/>
      <c r="L134" s="45"/>
      <c r="M134" s="46"/>
      <c r="N134" s="48" t="s">
        <v>8</v>
      </c>
      <c r="O134" s="48" t="s">
        <v>9</v>
      </c>
      <c r="P134" s="48" t="s">
        <v>10</v>
      </c>
    </row>
    <row r="135" spans="1:16" ht="15.75" thickTop="1" x14ac:dyDescent="0.25">
      <c r="A135" s="18">
        <v>43535</v>
      </c>
      <c r="B135" s="16">
        <f>IFERROR(VLOOKUP(A135,OverviewTable[],2,FALSE),"?")</f>
        <v>129.4</v>
      </c>
      <c r="C135" s="16" t="str">
        <f>((N140 * 4) + (O140 * 9) + (P140 * 4))&amp;"/"&amp;IFERROR(VLOOKUP(A135,OverviewTable[],11,FALSE),"?")</f>
        <v>2289/2320.4</v>
      </c>
      <c r="D135" s="16" t="str">
        <f>N140&amp;"/"&amp;IFERROR(VLOOKUP(A135,OverviewTable[],12,FALSE),"?")</f>
        <v>123.8/129</v>
      </c>
      <c r="E135" s="16" t="str">
        <f>O140&amp;"/"&amp;IFERROR(VLOOKUP(A135,OverviewTable[],13,FALSE),"?")</f>
        <v>75.4/64</v>
      </c>
      <c r="F135" s="16" t="str">
        <f>P140&amp;"/"&amp;IFERROR(VLOOKUP(A135,OverviewTable[],14,FALSE),"?")</f>
        <v>278.8/307</v>
      </c>
      <c r="G135" s="47"/>
      <c r="H135" s="47"/>
      <c r="I135" s="45"/>
      <c r="J135" s="45"/>
      <c r="K135" s="45"/>
      <c r="L135" s="45"/>
      <c r="M135" s="48" t="s">
        <v>6</v>
      </c>
      <c r="N135" s="48">
        <f>(A138 * IFERROR(VLOOKUP(B138,BreakfastTable[],2,FALSE),0)) + (A139 * IFERROR(VLOOKUP(B139,BreakfastTable[],2,FALSE),0)) + (A140 * IFERROR(VLOOKUP(B140,BreakfastTable[],2,FALSE),0)) + (A141 * IFERROR(VLOOKUP(B141,BreakfastTable[],2,FALSE),0))</f>
        <v>32.299999999999997</v>
      </c>
      <c r="O135" s="48">
        <f>(A138 * IFERROR(VLOOKUP(B138,BreakfastTable[],3,FALSE),0)) + (A139 * IFERROR(VLOOKUP(B139,BreakfastTable[],3,FALSE),0)) + (A140 * IFERROR(VLOOKUP(B140,BreakfastTable[],3,FALSE),0)) + (A141 * IFERROR(VLOOKUP(B141,BreakfastTable[],3,FALSE),0))</f>
        <v>14.9</v>
      </c>
      <c r="P135" s="48">
        <f>(A138 * IFERROR(VLOOKUP(B138,BreakfastTable[],4,FALSE),0)) + (A139 * IFERROR(VLOOKUP(B139,BreakfastTable[],4,FALSE),0)) + (A140 * IFERROR(VLOOKUP(B140,BreakfastTable[],4,FALSE),0)) + (A141 * IFERROR(VLOOKUP(B141,BreakfastTable[],4,FALSE),0))</f>
        <v>55.3</v>
      </c>
    </row>
    <row r="136" spans="1:16" x14ac:dyDescent="0.25">
      <c r="A136" s="17"/>
      <c r="B136" s="17"/>
      <c r="C136" s="17"/>
      <c r="D136" s="17"/>
      <c r="E136" s="17"/>
      <c r="F136" s="17"/>
      <c r="G136" s="47"/>
      <c r="H136" s="47"/>
      <c r="I136" s="45"/>
      <c r="J136" s="45"/>
      <c r="K136" s="45"/>
      <c r="L136" s="45"/>
      <c r="M136" s="48" t="s">
        <v>11</v>
      </c>
      <c r="N136" s="48">
        <f>(C138 * IFERROR(VLOOKUP(D138,LunchTable[],2,FALSE),0)) + (C139 * IFERROR(VLOOKUP(D139,LunchTable[],2,FALSE),0)) + (C140 * IFERROR(VLOOKUP(D140,LunchTable[],2,FALSE),0)) + (C141 * IFERROR(VLOOKUP(D141,LunchTable[],2,FALSE),0))</f>
        <v>53.5</v>
      </c>
      <c r="O136" s="48">
        <f>(C138 * IFERROR(VLOOKUP(D138,LunchTable[],3,FALSE),0)) + (C139 * IFERROR(VLOOKUP(D139,LunchTable[],3,FALSE),0)) + (C140 * IFERROR(VLOOKUP(D140,LunchTable[],3,FALSE),0)) + (C141 * IFERROR(VLOOKUP(D141,LunchTable[],3,FALSE),0))</f>
        <v>20</v>
      </c>
      <c r="P136" s="48">
        <f>(C138 * IFERROR(VLOOKUP(D138,LunchTable[],4,FALSE),0)) + (C139 * IFERROR(VLOOKUP(D139,LunchTable[],4,FALSE),0)) + (C140 * IFERROR(VLOOKUP(D140,LunchTable[],4,FALSE),0)) + (C141 * IFERROR(VLOOKUP(D141,LunchTable[],4,FALSE),0))</f>
        <v>66</v>
      </c>
    </row>
    <row r="137" spans="1:16" ht="18" thickBot="1" x14ac:dyDescent="0.35">
      <c r="A137" s="10" t="s">
        <v>34</v>
      </c>
      <c r="B137" s="11" t="s">
        <v>6</v>
      </c>
      <c r="C137" s="10" t="s">
        <v>34</v>
      </c>
      <c r="D137" s="11" t="s">
        <v>11</v>
      </c>
      <c r="E137" s="10" t="s">
        <v>34</v>
      </c>
      <c r="F137" s="11" t="s">
        <v>12</v>
      </c>
      <c r="G137" s="10" t="s">
        <v>34</v>
      </c>
      <c r="H137" s="12" t="s">
        <v>35</v>
      </c>
      <c r="I137" s="5" t="s">
        <v>41</v>
      </c>
      <c r="J137" s="5" t="s">
        <v>42</v>
      </c>
      <c r="K137" s="5" t="s">
        <v>43</v>
      </c>
      <c r="L137" s="45"/>
      <c r="M137" s="48" t="s">
        <v>12</v>
      </c>
      <c r="N137" s="48">
        <f>(E138 * IFERROR(VLOOKUP(F138,DinnerTable[],2,FALSE),0)) + (E139 * IFERROR(VLOOKUP(F139,DinnerTable[],2,FALSE),0)) + (E140 * IFERROR(VLOOKUP(F140,DinnerTable[],2,FALSE),0)) + (E141 * IFERROR(VLOOKUP(F141,DinnerTable[],2,FALSE),0))</f>
        <v>0</v>
      </c>
      <c r="O137" s="48">
        <f>(E138 * IFERROR(VLOOKUP(F138,DinnerTable[],3,FALSE),0)) + (E139 * IFERROR(VLOOKUP(F139,DinnerTable[],3,FALSE),0)) + (E140 * IFERROR(VLOOKUP(F140,DinnerTable[],3,FALSE),0)) + (E141 * IFERROR(VLOOKUP(F141,DinnerTable[],3,FALSE),0))</f>
        <v>0</v>
      </c>
      <c r="P137" s="48">
        <f>(E138 * IFERROR(VLOOKUP(F138,DinnerTable[],4,FALSE),0)) + (E139 * IFERROR(VLOOKUP(F139,DinnerTable[],4,FALSE),0)) + (E140 * IFERROR(VLOOKUP(F140,DinnerTable[],4,FALSE),0)) + (E141 * IFERROR(VLOOKUP(F141,DinnerTable[],4,FALSE),0))</f>
        <v>0</v>
      </c>
    </row>
    <row r="138" spans="1:16" ht="15.75" thickTop="1" x14ac:dyDescent="0.25">
      <c r="A138" s="17">
        <v>1</v>
      </c>
      <c r="B138" s="17" t="s">
        <v>98</v>
      </c>
      <c r="C138" s="17">
        <v>3</v>
      </c>
      <c r="D138" s="17" t="s">
        <v>22</v>
      </c>
      <c r="E138" s="17"/>
      <c r="F138" s="17"/>
      <c r="G138" s="17"/>
      <c r="H138" s="17"/>
      <c r="I138" s="2">
        <v>30</v>
      </c>
      <c r="J138" s="2">
        <v>11</v>
      </c>
      <c r="K138" s="2">
        <v>36.5</v>
      </c>
      <c r="L138" s="45"/>
      <c r="M138" s="48" t="s">
        <v>35</v>
      </c>
      <c r="N138" s="48">
        <f>(G138 * IFERROR(VLOOKUP(H138,PostWorkoutTable[],2,FALSE),0)) + (G139 * IFERROR(VLOOKUP(H139,PostWorkoutTable[],2,FALSE),0)) + (G140 * IFERROR(VLOOKUP(H140,PostWorkoutTable[],2,FALSE),0)) + (G141 * IFERROR(VLOOKUP(H141,PostWorkoutTable[],2,FALSE),0))</f>
        <v>0</v>
      </c>
      <c r="O138" s="48">
        <f>(G138 * IFERROR(VLOOKUP(H138,PostWorkoutTable[],3,FALSE),0)) + (G139 * IFERROR(VLOOKUP(H139,PostWorkoutTable[],3,FALSE),0)) + (G140 * IFERROR(VLOOKUP(H140,PostWorkoutTable[],3,FALSE),0)) + (G141 * IFERROR(VLOOKUP(H141,PostWorkoutTable[],3,FALSE),0))</f>
        <v>0</v>
      </c>
      <c r="P138" s="48">
        <f>(G138 * IFERROR(VLOOKUP(H138,PostWorkoutTable[],4,FALSE),0)) + (G139 * IFERROR(VLOOKUP(H139,PostWorkoutTable[],4,FALSE),0)) + (G140 * IFERROR(VLOOKUP(H140,PostWorkoutTable[],4,FALSE),0)) + (G141 * IFERROR(VLOOKUP(H141,PostWorkoutTable[],4,FALSE),0))</f>
        <v>0</v>
      </c>
    </row>
    <row r="139" spans="1:16" x14ac:dyDescent="0.25">
      <c r="A139" s="17"/>
      <c r="B139" s="17"/>
      <c r="C139" s="17">
        <v>1</v>
      </c>
      <c r="D139" s="17" t="s">
        <v>90</v>
      </c>
      <c r="E139" s="17"/>
      <c r="F139" s="17"/>
      <c r="G139" s="17"/>
      <c r="H139" s="17"/>
      <c r="I139" s="2">
        <v>0</v>
      </c>
      <c r="J139" s="2">
        <v>3.5</v>
      </c>
      <c r="K139" s="2">
        <v>9</v>
      </c>
      <c r="L139" s="45"/>
      <c r="M139" s="48" t="s">
        <v>21</v>
      </c>
      <c r="N139" s="48">
        <f xml:space="preserve"> SUM(I138:I141)</f>
        <v>38</v>
      </c>
      <c r="O139" s="48">
        <f>SUM(J138:J141)</f>
        <v>40.5</v>
      </c>
      <c r="P139" s="48">
        <f>SUM(K138:K141)</f>
        <v>157.5</v>
      </c>
    </row>
    <row r="140" spans="1:16" x14ac:dyDescent="0.25">
      <c r="A140" s="17"/>
      <c r="B140" s="17"/>
      <c r="C140" s="17">
        <v>0.5</v>
      </c>
      <c r="D140" s="17" t="s">
        <v>51</v>
      </c>
      <c r="E140" s="17"/>
      <c r="F140" s="17"/>
      <c r="G140" s="17"/>
      <c r="H140" s="17"/>
      <c r="I140" s="2">
        <v>0</v>
      </c>
      <c r="J140" s="2">
        <v>0</v>
      </c>
      <c r="K140" s="2">
        <v>42</v>
      </c>
      <c r="L140" s="45"/>
      <c r="M140" s="48" t="s">
        <v>38</v>
      </c>
      <c r="N140" s="48">
        <f>SUM(N135:N139)</f>
        <v>123.8</v>
      </c>
      <c r="O140" s="48">
        <f>SUM(O135:O139)</f>
        <v>75.400000000000006</v>
      </c>
      <c r="P140" s="48">
        <f>SUM(P135:P139)</f>
        <v>278.8</v>
      </c>
    </row>
    <row r="141" spans="1:16" x14ac:dyDescent="0.25">
      <c r="A141" s="17"/>
      <c r="B141" s="17"/>
      <c r="C141" s="17"/>
      <c r="D141" s="17"/>
      <c r="E141" s="17"/>
      <c r="F141" s="17"/>
      <c r="G141" s="17"/>
      <c r="H141" s="17"/>
      <c r="I141" s="2">
        <v>8</v>
      </c>
      <c r="J141" s="2">
        <v>26</v>
      </c>
      <c r="K141" s="2">
        <v>70</v>
      </c>
      <c r="L141" s="45"/>
      <c r="M141" s="45"/>
      <c r="N141" s="45"/>
      <c r="O141" s="45"/>
      <c r="P141" s="45"/>
    </row>
    <row r="142" spans="1:16" x14ac:dyDescent="0.25">
      <c r="A142" s="45"/>
      <c r="B142" s="45"/>
      <c r="C142" s="45"/>
      <c r="D142" s="45"/>
      <c r="E142" s="45"/>
      <c r="F142" s="45"/>
      <c r="G142" s="45"/>
      <c r="H142" s="45"/>
      <c r="I142" s="45"/>
      <c r="J142" s="45"/>
      <c r="K142" s="45"/>
      <c r="L142" s="45"/>
      <c r="M142" s="45"/>
      <c r="N142" s="45"/>
      <c r="O142" s="45"/>
      <c r="P142" s="45"/>
    </row>
    <row r="143" spans="1:16" ht="23.25" x14ac:dyDescent="0.35">
      <c r="A143" s="49">
        <v>43539</v>
      </c>
      <c r="B143" s="45"/>
      <c r="C143" s="45"/>
      <c r="D143" s="45"/>
      <c r="E143" s="45"/>
      <c r="F143" s="45"/>
      <c r="G143" s="45"/>
      <c r="H143" s="45"/>
      <c r="I143" s="45"/>
      <c r="J143" s="45"/>
      <c r="K143" s="45"/>
      <c r="L143" s="45"/>
      <c r="M143" s="45"/>
      <c r="N143" s="45"/>
      <c r="O143" s="45"/>
      <c r="P143" s="45"/>
    </row>
    <row r="144" spans="1:16" ht="18" thickBot="1" x14ac:dyDescent="0.35">
      <c r="A144" s="3" t="s">
        <v>48</v>
      </c>
      <c r="B144" s="3" t="s">
        <v>0</v>
      </c>
      <c r="C144" s="3" t="s">
        <v>36</v>
      </c>
      <c r="D144" s="3" t="s">
        <v>8</v>
      </c>
      <c r="E144" s="5" t="s">
        <v>9</v>
      </c>
      <c r="F144" s="5" t="s">
        <v>10</v>
      </c>
      <c r="G144" s="46"/>
      <c r="H144" s="47"/>
      <c r="I144" s="45"/>
      <c r="J144" s="45"/>
      <c r="K144" s="45"/>
      <c r="L144" s="45"/>
      <c r="M144" s="46"/>
      <c r="N144" s="48" t="s">
        <v>8</v>
      </c>
      <c r="O144" s="48" t="s">
        <v>9</v>
      </c>
      <c r="P144" s="48" t="s">
        <v>10</v>
      </c>
    </row>
    <row r="145" spans="1:16" ht="15.75" thickTop="1" x14ac:dyDescent="0.25">
      <c r="A145" s="18">
        <v>43535</v>
      </c>
      <c r="B145" s="16">
        <f>IFERROR(VLOOKUP(A145,OverviewTable[],2,FALSE),"?")</f>
        <v>129.4</v>
      </c>
      <c r="C145" s="16" t="str">
        <f>((N150 * 4) + (O150 * 9) + (P150 * 4))&amp;"/"&amp;IFERROR(VLOOKUP(A145,OverviewTable[],11,FALSE),"?")</f>
        <v>1732.3/2320.4</v>
      </c>
      <c r="D145" s="16" t="str">
        <f>N150&amp;"/"&amp;IFERROR(VLOOKUP(A145,OverviewTable[],12,FALSE),"?")</f>
        <v>99.2/129</v>
      </c>
      <c r="E145" s="16" t="str">
        <f>O150&amp;"/"&amp;IFERROR(VLOOKUP(A145,OverviewTable[],13,FALSE),"?")</f>
        <v>68.7/64</v>
      </c>
      <c r="F145" s="16" t="str">
        <f>P150&amp;"/"&amp;IFERROR(VLOOKUP(A145,OverviewTable[],14,FALSE),"?")</f>
        <v>179.3/307</v>
      </c>
      <c r="G145" s="47"/>
      <c r="H145" s="47"/>
      <c r="I145" s="45"/>
      <c r="J145" s="45"/>
      <c r="K145" s="45"/>
      <c r="L145" s="45"/>
      <c r="M145" s="48" t="s">
        <v>6</v>
      </c>
      <c r="N145" s="48">
        <f>(A148 * IFERROR(VLOOKUP(B148,BreakfastTable[],2,FALSE),0)) + (A149 * IFERROR(VLOOKUP(B149,BreakfastTable[],2,FALSE),0)) + (A150 * IFERROR(VLOOKUP(B150,BreakfastTable[],2,FALSE),0)) + (A151 * IFERROR(VLOOKUP(B151,BreakfastTable[],2,FALSE),0))</f>
        <v>1.6</v>
      </c>
      <c r="O145" s="48">
        <f>(A148 * IFERROR(VLOOKUP(B148,BreakfastTable[],3,FALSE),0)) + (A149 * IFERROR(VLOOKUP(B149,BreakfastTable[],3,FALSE),0)) + (A150 * IFERROR(VLOOKUP(B150,BreakfastTable[],3,FALSE),0)) + (A151 * IFERROR(VLOOKUP(B151,BreakfastTable[],3,FALSE),0))</f>
        <v>0.5</v>
      </c>
      <c r="P145" s="48">
        <f>(A148 * IFERROR(VLOOKUP(B148,BreakfastTable[],4,FALSE),0)) + (A149 * IFERROR(VLOOKUP(B149,BreakfastTable[],4,FALSE),0)) + (A150 * IFERROR(VLOOKUP(B150,BreakfastTable[],4,FALSE),0)) + (A151 * IFERROR(VLOOKUP(B151,BreakfastTable[],4,FALSE),0))</f>
        <v>34.299999999999997</v>
      </c>
    </row>
    <row r="146" spans="1:16" x14ac:dyDescent="0.25">
      <c r="A146" s="17"/>
      <c r="B146" s="17"/>
      <c r="C146" s="17"/>
      <c r="D146" s="17"/>
      <c r="E146" s="17"/>
      <c r="F146" s="17"/>
      <c r="G146" s="47"/>
      <c r="H146" s="47"/>
      <c r="I146" s="45"/>
      <c r="J146" s="45"/>
      <c r="K146" s="45"/>
      <c r="L146" s="45"/>
      <c r="M146" s="48" t="s">
        <v>11</v>
      </c>
      <c r="N146" s="48">
        <f>(C148 * IFERROR(VLOOKUP(D148,LunchTable[],2,FALSE),0)) + (C149 * IFERROR(VLOOKUP(D149,LunchTable[],2,FALSE),0)) + (C150 * IFERROR(VLOOKUP(D150,LunchTable[],2,FALSE),0)) + (C151 * IFERROR(VLOOKUP(D151,LunchTable[],2,FALSE),0))</f>
        <v>0</v>
      </c>
      <c r="O146" s="48">
        <f>(C148 * IFERROR(VLOOKUP(D148,LunchTable[],3,FALSE),0)) + (C149 * IFERROR(VLOOKUP(D149,LunchTable[],3,FALSE),0)) + (C150 * IFERROR(VLOOKUP(D150,LunchTable[],3,FALSE),0)) + (C151 * IFERROR(VLOOKUP(D151,LunchTable[],3,FALSE),0))</f>
        <v>0</v>
      </c>
      <c r="P146" s="48">
        <f>(C148 * IFERROR(VLOOKUP(D148,LunchTable[],4,FALSE),0)) + (C149 * IFERROR(VLOOKUP(D149,LunchTable[],4,FALSE),0)) + (C150 * IFERROR(VLOOKUP(D150,LunchTable[],4,FALSE),0)) + (C151 * IFERROR(VLOOKUP(D151,LunchTable[],4,FALSE),0))</f>
        <v>0</v>
      </c>
    </row>
    <row r="147" spans="1:16" ht="18" thickBot="1" x14ac:dyDescent="0.35">
      <c r="A147" s="10" t="s">
        <v>34</v>
      </c>
      <c r="B147" s="11" t="s">
        <v>6</v>
      </c>
      <c r="C147" s="10" t="s">
        <v>34</v>
      </c>
      <c r="D147" s="11" t="s">
        <v>11</v>
      </c>
      <c r="E147" s="10" t="s">
        <v>34</v>
      </c>
      <c r="F147" s="11" t="s">
        <v>12</v>
      </c>
      <c r="G147" s="10" t="s">
        <v>34</v>
      </c>
      <c r="H147" s="12" t="s">
        <v>35</v>
      </c>
      <c r="I147" s="5" t="s">
        <v>41</v>
      </c>
      <c r="J147" s="5" t="s">
        <v>42</v>
      </c>
      <c r="K147" s="5" t="s">
        <v>43</v>
      </c>
      <c r="L147" s="45"/>
      <c r="M147" s="48" t="s">
        <v>12</v>
      </c>
      <c r="N147" s="48">
        <f>(E148 * IFERROR(VLOOKUP(F148,DinnerTable[],2,FALSE),0)) + (E149 * IFERROR(VLOOKUP(F149,DinnerTable[],2,FALSE),0)) + (E150 * IFERROR(VLOOKUP(F150,DinnerTable[],2,FALSE),0)) + (E151 * IFERROR(VLOOKUP(F151,DinnerTable[],2,FALSE),0))</f>
        <v>0</v>
      </c>
      <c r="O147" s="48">
        <f>(E148 * IFERROR(VLOOKUP(F148,DinnerTable[],3,FALSE),0)) + (E149 * IFERROR(VLOOKUP(F149,DinnerTable[],3,FALSE),0)) + (E150 * IFERROR(VLOOKUP(F150,DinnerTable[],3,FALSE),0)) + (E151 * IFERROR(VLOOKUP(F151,DinnerTable[],3,FALSE),0))</f>
        <v>0</v>
      </c>
      <c r="P147" s="48">
        <f>(E148 * IFERROR(VLOOKUP(F148,DinnerTable[],4,FALSE),0)) + (E149 * IFERROR(VLOOKUP(F149,DinnerTable[],4,FALSE),0)) + (E150 * IFERROR(VLOOKUP(F150,DinnerTable[],4,FALSE),0)) + (E151 * IFERROR(VLOOKUP(F151,DinnerTable[],4,FALSE),0))</f>
        <v>0</v>
      </c>
    </row>
    <row r="148" spans="1:16" ht="15.75" thickTop="1" x14ac:dyDescent="0.25">
      <c r="A148" s="17">
        <v>1</v>
      </c>
      <c r="B148" s="17" t="s">
        <v>27</v>
      </c>
      <c r="C148" s="17"/>
      <c r="D148" s="17"/>
      <c r="E148" s="17"/>
      <c r="F148" s="17"/>
      <c r="G148" s="17"/>
      <c r="H148" s="17"/>
      <c r="I148" s="2">
        <v>41</v>
      </c>
      <c r="J148" s="2">
        <v>37</v>
      </c>
      <c r="K148" s="2">
        <v>45</v>
      </c>
      <c r="L148" s="45"/>
      <c r="M148" s="48" t="s">
        <v>35</v>
      </c>
      <c r="N148" s="48">
        <f>(G148 * IFERROR(VLOOKUP(H148,PostWorkoutTable[],2,FALSE),0)) + (G149 * IFERROR(VLOOKUP(H149,PostWorkoutTable[],2,FALSE),0)) + (G150 * IFERROR(VLOOKUP(H150,PostWorkoutTable[],2,FALSE),0)) + (G151 * IFERROR(VLOOKUP(H151,PostWorkoutTable[],2,FALSE),0))</f>
        <v>0</v>
      </c>
      <c r="O148" s="48">
        <f>(G148 * IFERROR(VLOOKUP(H148,PostWorkoutTable[],3,FALSE),0)) + (G149 * IFERROR(VLOOKUP(H149,PostWorkoutTable[],3,FALSE),0)) + (G150 * IFERROR(VLOOKUP(H150,PostWorkoutTable[],3,FALSE),0)) + (G151 * IFERROR(VLOOKUP(H151,PostWorkoutTable[],3,FALSE),0))</f>
        <v>0</v>
      </c>
      <c r="P148" s="48">
        <f>(G148 * IFERROR(VLOOKUP(H148,PostWorkoutTable[],4,FALSE),0)) + (G149 * IFERROR(VLOOKUP(H149,PostWorkoutTable[],4,FALSE),0)) + (G150 * IFERROR(VLOOKUP(H150,PostWorkoutTable[],4,FALSE),0)) + (G151 * IFERROR(VLOOKUP(H151,PostWorkoutTable[],4,FALSE),0))</f>
        <v>0</v>
      </c>
    </row>
    <row r="149" spans="1:16" x14ac:dyDescent="0.25">
      <c r="A149" s="17"/>
      <c r="B149" s="17"/>
      <c r="C149" s="17"/>
      <c r="D149" s="17"/>
      <c r="E149" s="17"/>
      <c r="F149" s="17"/>
      <c r="G149" s="17"/>
      <c r="H149" s="17"/>
      <c r="I149" s="2">
        <v>12.6</v>
      </c>
      <c r="J149" s="2">
        <v>3.2</v>
      </c>
      <c r="K149" s="2">
        <v>48</v>
      </c>
      <c r="L149" s="45"/>
      <c r="M149" s="48" t="s">
        <v>21</v>
      </c>
      <c r="N149" s="48">
        <f xml:space="preserve"> SUM(I148:I151)</f>
        <v>97.6</v>
      </c>
      <c r="O149" s="48">
        <f>SUM(J148:J151)</f>
        <v>68.2</v>
      </c>
      <c r="P149" s="48">
        <f>SUM(K148:K151)</f>
        <v>145</v>
      </c>
    </row>
    <row r="150" spans="1:16" x14ac:dyDescent="0.25">
      <c r="A150" s="17"/>
      <c r="B150" s="17"/>
      <c r="C150" s="17"/>
      <c r="D150" s="17"/>
      <c r="E150" s="17"/>
      <c r="F150" s="17"/>
      <c r="G150" s="17"/>
      <c r="H150" s="17"/>
      <c r="I150" s="2">
        <v>44</v>
      </c>
      <c r="J150" s="2">
        <v>28</v>
      </c>
      <c r="K150" s="2">
        <v>0</v>
      </c>
      <c r="L150" s="45"/>
      <c r="M150" s="48" t="s">
        <v>38</v>
      </c>
      <c r="N150" s="48">
        <f>SUM(N145:N149)</f>
        <v>99.199999999999989</v>
      </c>
      <c r="O150" s="48">
        <f>SUM(O145:O149)</f>
        <v>68.7</v>
      </c>
      <c r="P150" s="48">
        <f>SUM(P145:P149)</f>
        <v>179.3</v>
      </c>
    </row>
    <row r="151" spans="1:16" x14ac:dyDescent="0.25">
      <c r="A151" s="17"/>
      <c r="B151" s="17"/>
      <c r="C151" s="17"/>
      <c r="D151" s="17"/>
      <c r="E151" s="17"/>
      <c r="F151" s="17"/>
      <c r="G151" s="17"/>
      <c r="H151" s="17"/>
      <c r="I151" s="2">
        <v>0</v>
      </c>
      <c r="J151" s="2">
        <v>0</v>
      </c>
      <c r="K151" s="2">
        <v>52</v>
      </c>
      <c r="L151" s="45"/>
      <c r="M151" s="45"/>
      <c r="N151" s="45"/>
      <c r="O151" s="45"/>
      <c r="P151" s="45"/>
    </row>
    <row r="152" spans="1:16" x14ac:dyDescent="0.25">
      <c r="A152" s="45"/>
      <c r="B152" s="45"/>
      <c r="C152" s="45"/>
      <c r="D152" s="45"/>
      <c r="E152" s="45"/>
      <c r="F152" s="45"/>
      <c r="G152" s="45"/>
      <c r="H152" s="45"/>
      <c r="I152" s="45"/>
      <c r="J152" s="45"/>
      <c r="K152" s="45"/>
      <c r="L152" s="45"/>
      <c r="M152" s="45"/>
      <c r="N152" s="45"/>
      <c r="O152" s="45"/>
      <c r="P152" s="45"/>
    </row>
    <row r="153" spans="1:16" ht="23.25" x14ac:dyDescent="0.35">
      <c r="A153" s="49">
        <v>43540</v>
      </c>
      <c r="B153" s="45"/>
      <c r="C153" s="45"/>
      <c r="D153" s="45"/>
      <c r="E153" s="45"/>
      <c r="F153" s="45"/>
      <c r="G153" s="45"/>
      <c r="H153" s="45"/>
      <c r="I153" s="45"/>
      <c r="J153" s="45"/>
      <c r="K153" s="45"/>
      <c r="L153" s="45"/>
      <c r="M153" s="45"/>
      <c r="N153" s="45"/>
      <c r="O153" s="45"/>
      <c r="P153" s="45"/>
    </row>
    <row r="154" spans="1:16" ht="18" thickBot="1" x14ac:dyDescent="0.35">
      <c r="A154" s="3" t="s">
        <v>48</v>
      </c>
      <c r="B154" s="3" t="s">
        <v>0</v>
      </c>
      <c r="C154" s="3" t="s">
        <v>36</v>
      </c>
      <c r="D154" s="3" t="s">
        <v>8</v>
      </c>
      <c r="E154" s="5" t="s">
        <v>9</v>
      </c>
      <c r="F154" s="5" t="s">
        <v>10</v>
      </c>
      <c r="G154" s="46"/>
      <c r="H154" s="47"/>
      <c r="I154" s="45"/>
      <c r="J154" s="45"/>
      <c r="K154" s="45"/>
      <c r="L154" s="45"/>
      <c r="M154" s="46"/>
      <c r="N154" s="48" t="s">
        <v>8</v>
      </c>
      <c r="O154" s="48" t="s">
        <v>9</v>
      </c>
      <c r="P154" s="48" t="s">
        <v>10</v>
      </c>
    </row>
    <row r="155" spans="1:16" ht="15.75" thickTop="1" x14ac:dyDescent="0.25">
      <c r="A155" s="18">
        <v>43535</v>
      </c>
      <c r="B155" s="16">
        <f>IFERROR(VLOOKUP(A155,OverviewTable[],2,FALSE),"?")</f>
        <v>129.4</v>
      </c>
      <c r="C155" s="16" t="str">
        <f>((N160 * 4) + (O160 * 9) + (P160 * 4))&amp;"/"&amp;IFERROR(VLOOKUP(A155,OverviewTable[],11,FALSE),"?")</f>
        <v>1422.4/2320.4</v>
      </c>
      <c r="D155" s="16" t="str">
        <f>N160&amp;"/"&amp;IFERROR(VLOOKUP(A155,OverviewTable[],12,FALSE),"?")</f>
        <v>85.2/129</v>
      </c>
      <c r="E155" s="16" t="str">
        <f>O160&amp;"/"&amp;IFERROR(VLOOKUP(A155,OverviewTable[],13,FALSE),"?")</f>
        <v>40/64</v>
      </c>
      <c r="F155" s="16" t="str">
        <f>P160&amp;"/"&amp;IFERROR(VLOOKUP(A155,OverviewTable[],14,FALSE),"?")</f>
        <v>180.4/307</v>
      </c>
      <c r="G155" s="47"/>
      <c r="H155" s="47"/>
      <c r="I155" s="45"/>
      <c r="J155" s="45"/>
      <c r="K155" s="45"/>
      <c r="L155" s="45"/>
      <c r="M155" s="48" t="s">
        <v>6</v>
      </c>
      <c r="N155" s="48">
        <f>(A158 * IFERROR(VLOOKUP(B158,BreakfastTable[],2,FALSE),0)) + (A159 * IFERROR(VLOOKUP(B159,BreakfastTable[],2,FALSE),0)) + (A160 * IFERROR(VLOOKUP(B160,BreakfastTable[],2,FALSE),0)) + (A161 * IFERROR(VLOOKUP(B161,BreakfastTable[],2,FALSE),0))</f>
        <v>8</v>
      </c>
      <c r="O155" s="48">
        <f>(A158 * IFERROR(VLOOKUP(B158,BreakfastTable[],3,FALSE),0)) + (A159 * IFERROR(VLOOKUP(B159,BreakfastTable[],3,FALSE),0)) + (A160 * IFERROR(VLOOKUP(B160,BreakfastTable[],3,FALSE),0)) + (A161 * IFERROR(VLOOKUP(B161,BreakfastTable[],3,FALSE),0))</f>
        <v>0</v>
      </c>
      <c r="P155" s="48">
        <f>(A158 * IFERROR(VLOOKUP(B158,BreakfastTable[],4,FALSE),0)) + (A159 * IFERROR(VLOOKUP(B159,BreakfastTable[],4,FALSE),0)) + (A160 * IFERROR(VLOOKUP(B160,BreakfastTable[],4,FALSE),0)) + (A161 * IFERROR(VLOOKUP(B161,BreakfastTable[],4,FALSE),0))</f>
        <v>8</v>
      </c>
    </row>
    <row r="156" spans="1:16" x14ac:dyDescent="0.25">
      <c r="A156" s="17"/>
      <c r="B156" s="17"/>
      <c r="C156" s="17"/>
      <c r="D156" s="17"/>
      <c r="E156" s="17"/>
      <c r="F156" s="17"/>
      <c r="G156" s="47"/>
      <c r="H156" s="47"/>
      <c r="I156" s="45"/>
      <c r="J156" s="45"/>
      <c r="K156" s="45"/>
      <c r="L156" s="45"/>
      <c r="M156" s="48" t="s">
        <v>11</v>
      </c>
      <c r="N156" s="48">
        <f>(C158 * IFERROR(VLOOKUP(D158,LunchTable[],2,FALSE),0)) + (C159 * IFERROR(VLOOKUP(D159,LunchTable[],2,FALSE),0)) + (C160 * IFERROR(VLOOKUP(D160,LunchTable[],2,FALSE),0)) + (C161 * IFERROR(VLOOKUP(D161,LunchTable[],2,FALSE),0))</f>
        <v>0</v>
      </c>
      <c r="O156" s="48">
        <f>(C158 * IFERROR(VLOOKUP(D158,LunchTable[],3,FALSE),0)) + (C159 * IFERROR(VLOOKUP(D159,LunchTable[],3,FALSE),0)) + (C160 * IFERROR(VLOOKUP(D160,LunchTable[],3,FALSE),0)) + (C161 * IFERROR(VLOOKUP(D161,LunchTable[],3,FALSE),0))</f>
        <v>0</v>
      </c>
      <c r="P156" s="48">
        <f>(C158 * IFERROR(VLOOKUP(D158,LunchTable[],4,FALSE),0)) + (C159 * IFERROR(VLOOKUP(D159,LunchTable[],4,FALSE),0)) + (C160 * IFERROR(VLOOKUP(D160,LunchTable[],4,FALSE),0)) + (C161 * IFERROR(VLOOKUP(D161,LunchTable[],4,FALSE),0))</f>
        <v>0</v>
      </c>
    </row>
    <row r="157" spans="1:16" ht="18" thickBot="1" x14ac:dyDescent="0.35">
      <c r="A157" s="10" t="s">
        <v>34</v>
      </c>
      <c r="B157" s="11" t="s">
        <v>6</v>
      </c>
      <c r="C157" s="10" t="s">
        <v>34</v>
      </c>
      <c r="D157" s="11" t="s">
        <v>11</v>
      </c>
      <c r="E157" s="10" t="s">
        <v>34</v>
      </c>
      <c r="F157" s="11" t="s">
        <v>12</v>
      </c>
      <c r="G157" s="10" t="s">
        <v>34</v>
      </c>
      <c r="H157" s="12" t="s">
        <v>35</v>
      </c>
      <c r="I157" s="5" t="s">
        <v>41</v>
      </c>
      <c r="J157" s="5" t="s">
        <v>42</v>
      </c>
      <c r="K157" s="5" t="s">
        <v>43</v>
      </c>
      <c r="L157" s="45"/>
      <c r="M157" s="48" t="s">
        <v>12</v>
      </c>
      <c r="N157" s="48">
        <f>(E158 * IFERROR(VLOOKUP(F158,DinnerTable[],2,FALSE),0)) + (E159 * IFERROR(VLOOKUP(F159,DinnerTable[],2,FALSE),0)) + (E160 * IFERROR(VLOOKUP(F160,DinnerTable[],2,FALSE),0)) + (E161 * IFERROR(VLOOKUP(F161,DinnerTable[],2,FALSE),0))</f>
        <v>11</v>
      </c>
      <c r="O157" s="48">
        <f>(E158 * IFERROR(VLOOKUP(F158,DinnerTable[],3,FALSE),0)) + (E159 * IFERROR(VLOOKUP(F159,DinnerTable[],3,FALSE),0)) + (E160 * IFERROR(VLOOKUP(F160,DinnerTable[],3,FALSE),0)) + (E161 * IFERROR(VLOOKUP(F161,DinnerTable[],3,FALSE),0))</f>
        <v>10</v>
      </c>
      <c r="P157" s="48">
        <f>(E158 * IFERROR(VLOOKUP(F158,DinnerTable[],4,FALSE),0)) + (E159 * IFERROR(VLOOKUP(F159,DinnerTable[],4,FALSE),0)) + (E160 * IFERROR(VLOOKUP(F160,DinnerTable[],4,FALSE),0)) + (E161 * IFERROR(VLOOKUP(F161,DinnerTable[],4,FALSE),0))</f>
        <v>55</v>
      </c>
    </row>
    <row r="158" spans="1:16" ht="15.75" thickTop="1" x14ac:dyDescent="0.25">
      <c r="A158" s="17">
        <v>2</v>
      </c>
      <c r="B158" s="17" t="s">
        <v>49</v>
      </c>
      <c r="C158" s="17"/>
      <c r="D158" s="17"/>
      <c r="E158" s="17">
        <v>1</v>
      </c>
      <c r="F158" s="17" t="s">
        <v>23</v>
      </c>
      <c r="G158" s="17">
        <v>1</v>
      </c>
      <c r="H158" s="17" t="s">
        <v>97</v>
      </c>
      <c r="I158" s="2">
        <v>4</v>
      </c>
      <c r="J158" s="2">
        <v>4.3</v>
      </c>
      <c r="K158" s="2">
        <v>25.5</v>
      </c>
      <c r="L158" s="45"/>
      <c r="M158" s="48" t="s">
        <v>35</v>
      </c>
      <c r="N158" s="48">
        <f>(G158 * IFERROR(VLOOKUP(H158,PostWorkoutTable[],2,FALSE),0)) + (G159 * IFERROR(VLOOKUP(H159,PostWorkoutTable[],2,FALSE),0)) + (G160 * IFERROR(VLOOKUP(H160,PostWorkoutTable[],2,FALSE),0)) + (G161 * IFERROR(VLOOKUP(H161,PostWorkoutTable[],2,FALSE),0))</f>
        <v>32.200000000000003</v>
      </c>
      <c r="O158" s="48">
        <f>(G158 * IFERROR(VLOOKUP(H158,PostWorkoutTable[],3,FALSE),0)) + (G159 * IFERROR(VLOOKUP(H159,PostWorkoutTable[],3,FALSE),0)) + (G160 * IFERROR(VLOOKUP(H160,PostWorkoutTable[],3,FALSE),0)) + (G161 * IFERROR(VLOOKUP(H161,PostWorkoutTable[],3,FALSE),0))</f>
        <v>14.7</v>
      </c>
      <c r="P158" s="48">
        <f>(G158 * IFERROR(VLOOKUP(H158,PostWorkoutTable[],4,FALSE),0)) + (G159 * IFERROR(VLOOKUP(H159,PostWorkoutTable[],4,FALSE),0)) + (G160 * IFERROR(VLOOKUP(H160,PostWorkoutTable[],4,FALSE),0)) + (G161 * IFERROR(VLOOKUP(H161,PostWorkoutTable[],4,FALSE),0))</f>
        <v>55.4</v>
      </c>
    </row>
    <row r="159" spans="1:16" x14ac:dyDescent="0.25">
      <c r="A159" s="17"/>
      <c r="B159" s="17"/>
      <c r="C159" s="17"/>
      <c r="D159" s="17"/>
      <c r="E159" s="17">
        <v>1</v>
      </c>
      <c r="F159" s="17" t="s">
        <v>64</v>
      </c>
      <c r="G159" s="17"/>
      <c r="H159" s="17"/>
      <c r="I159" s="2">
        <v>30</v>
      </c>
      <c r="J159" s="2">
        <v>11</v>
      </c>
      <c r="K159" s="2">
        <v>36.5</v>
      </c>
      <c r="L159" s="45"/>
      <c r="M159" s="48" t="s">
        <v>21</v>
      </c>
      <c r="N159" s="48">
        <f xml:space="preserve"> SUM(I158:I161)</f>
        <v>34</v>
      </c>
      <c r="O159" s="48">
        <f>SUM(J158:J161)</f>
        <v>15.3</v>
      </c>
      <c r="P159" s="48">
        <f>SUM(K158:K161)</f>
        <v>62</v>
      </c>
    </row>
    <row r="160" spans="1:16" x14ac:dyDescent="0.25">
      <c r="A160" s="17"/>
      <c r="B160" s="17"/>
      <c r="C160" s="17"/>
      <c r="D160" s="17"/>
      <c r="E160" s="17"/>
      <c r="F160" s="17"/>
      <c r="G160" s="17"/>
      <c r="H160" s="17"/>
      <c r="I160" s="2"/>
      <c r="J160" s="2"/>
      <c r="K160" s="2"/>
      <c r="L160" s="45"/>
      <c r="M160" s="48" t="s">
        <v>38</v>
      </c>
      <c r="N160" s="48">
        <f>SUM(N155:N159)</f>
        <v>85.2</v>
      </c>
      <c r="O160" s="48">
        <f>SUM(O155:O159)</f>
        <v>40</v>
      </c>
      <c r="P160" s="48">
        <f>SUM(P155:P159)</f>
        <v>180.4</v>
      </c>
    </row>
    <row r="161" spans="1:16" x14ac:dyDescent="0.25">
      <c r="A161" s="17"/>
      <c r="B161" s="17"/>
      <c r="C161" s="17"/>
      <c r="D161" s="17"/>
      <c r="E161" s="17"/>
      <c r="F161" s="17"/>
      <c r="G161" s="17"/>
      <c r="H161" s="17"/>
      <c r="I161" s="2"/>
      <c r="J161" s="2"/>
      <c r="K161" s="2"/>
      <c r="L161" s="45"/>
      <c r="M161" s="45"/>
      <c r="N161" s="45"/>
      <c r="O161" s="45"/>
      <c r="P161" s="45"/>
    </row>
    <row r="162" spans="1:16" x14ac:dyDescent="0.25">
      <c r="A162" s="45"/>
      <c r="B162" s="45"/>
      <c r="C162" s="45"/>
      <c r="D162" s="45"/>
      <c r="E162" s="45"/>
      <c r="F162" s="45"/>
      <c r="G162" s="45"/>
      <c r="H162" s="45"/>
      <c r="I162" s="45"/>
      <c r="J162" s="45"/>
      <c r="K162" s="45"/>
      <c r="L162" s="45"/>
      <c r="M162" s="45"/>
      <c r="N162" s="45"/>
      <c r="O162" s="45"/>
      <c r="P162" s="45"/>
    </row>
    <row r="163" spans="1:16" ht="23.25" x14ac:dyDescent="0.35">
      <c r="A163" s="49">
        <v>43541</v>
      </c>
      <c r="B163" s="45"/>
      <c r="C163" s="45"/>
      <c r="D163" s="45"/>
      <c r="E163" s="45"/>
      <c r="F163" s="45"/>
      <c r="G163" s="45"/>
      <c r="H163" s="45"/>
      <c r="I163" s="45"/>
      <c r="J163" s="45"/>
      <c r="K163" s="45"/>
      <c r="L163" s="45"/>
      <c r="M163" s="45"/>
      <c r="N163" s="45"/>
      <c r="O163" s="45"/>
      <c r="P163" s="45"/>
    </row>
    <row r="164" spans="1:16" ht="18" thickBot="1" x14ac:dyDescent="0.35">
      <c r="A164" s="3" t="s">
        <v>48</v>
      </c>
      <c r="B164" s="3" t="s">
        <v>0</v>
      </c>
      <c r="C164" s="3" t="s">
        <v>36</v>
      </c>
      <c r="D164" s="3" t="s">
        <v>8</v>
      </c>
      <c r="E164" s="5" t="s">
        <v>9</v>
      </c>
      <c r="F164" s="5" t="s">
        <v>10</v>
      </c>
      <c r="G164" s="46"/>
      <c r="H164" s="47"/>
      <c r="I164" s="45"/>
      <c r="J164" s="45"/>
      <c r="K164" s="45"/>
      <c r="L164" s="45"/>
      <c r="M164" s="46"/>
      <c r="N164" s="48" t="s">
        <v>8</v>
      </c>
      <c r="O164" s="48" t="s">
        <v>9</v>
      </c>
      <c r="P164" s="48" t="s">
        <v>10</v>
      </c>
    </row>
    <row r="165" spans="1:16" ht="15.75" thickTop="1" x14ac:dyDescent="0.25">
      <c r="A165" s="18">
        <v>43535</v>
      </c>
      <c r="B165" s="16">
        <f>IFERROR(VLOOKUP(A165,OverviewTable[],2,FALSE),"?")</f>
        <v>129.4</v>
      </c>
      <c r="C165" s="16" t="str">
        <f>((N170 * 4) + (O170 * 9) + (P170 * 4))&amp;"/"&amp;IFERROR(VLOOKUP(A165,OverviewTable[],11,FALSE),"?")</f>
        <v>1630.5/2320.4</v>
      </c>
      <c r="D165" s="16" t="str">
        <f>N170&amp;"/"&amp;IFERROR(VLOOKUP(A165,OverviewTable[],12,FALSE),"?")</f>
        <v>106.5/129</v>
      </c>
      <c r="E165" s="16" t="str">
        <f>O170&amp;"/"&amp;IFERROR(VLOOKUP(A165,OverviewTable[],13,FALSE),"?")</f>
        <v>74.5/64</v>
      </c>
      <c r="F165" s="16" t="str">
        <f>P170&amp;"/"&amp;IFERROR(VLOOKUP(A165,OverviewTable[],14,FALSE),"?")</f>
        <v>133.5/307</v>
      </c>
      <c r="G165" s="47"/>
      <c r="H165" s="47"/>
      <c r="I165" s="45"/>
      <c r="J165" s="45"/>
      <c r="K165" s="45"/>
      <c r="L165" s="45"/>
      <c r="M165" s="48" t="s">
        <v>6</v>
      </c>
      <c r="N165" s="48">
        <f>(A168 * IFERROR(VLOOKUP(B168,BreakfastTable[],2,FALSE),0)) + (A169 * IFERROR(VLOOKUP(B169,BreakfastTable[],2,FALSE),0)) + (A170 * IFERROR(VLOOKUP(B170,BreakfastTable[],2,FALSE),0)) + (A171 * IFERROR(VLOOKUP(B171,BreakfastTable[],2,FALSE),0))</f>
        <v>20</v>
      </c>
      <c r="O165" s="48">
        <f>(A168 * IFERROR(VLOOKUP(B168,BreakfastTable[],3,FALSE),0)) + (A169 * IFERROR(VLOOKUP(B169,BreakfastTable[],3,FALSE),0)) + (A170 * IFERROR(VLOOKUP(B170,BreakfastTable[],3,FALSE),0)) + (A171 * IFERROR(VLOOKUP(B171,BreakfastTable[],3,FALSE),0))</f>
        <v>9</v>
      </c>
      <c r="P165" s="48">
        <f>(A168 * IFERROR(VLOOKUP(B168,BreakfastTable[],4,FALSE),0)) + (A169 * IFERROR(VLOOKUP(B169,BreakfastTable[],4,FALSE),0)) + (A170 * IFERROR(VLOOKUP(B170,BreakfastTable[],4,FALSE),0)) + (A171 * IFERROR(VLOOKUP(B171,BreakfastTable[],4,FALSE),0))</f>
        <v>30</v>
      </c>
    </row>
    <row r="166" spans="1:16" x14ac:dyDescent="0.25">
      <c r="A166" s="17"/>
      <c r="B166" s="17"/>
      <c r="C166" s="17"/>
      <c r="D166" s="17"/>
      <c r="E166" s="17"/>
      <c r="F166" s="17"/>
      <c r="G166" s="47"/>
      <c r="H166" s="47"/>
      <c r="I166" s="45"/>
      <c r="J166" s="45"/>
      <c r="K166" s="45"/>
      <c r="L166" s="45"/>
      <c r="M166" s="48" t="s">
        <v>11</v>
      </c>
      <c r="N166" s="48">
        <f>(C168 * IFERROR(VLOOKUP(D168,LunchTable[],2,FALSE),0)) + (C169 * IFERROR(VLOOKUP(D169,LunchTable[],2,FALSE),0)) + (C170 * IFERROR(VLOOKUP(D170,LunchTable[],2,FALSE),0)) + (C171 * IFERROR(VLOOKUP(D171,LunchTable[],2,FALSE),0))</f>
        <v>32</v>
      </c>
      <c r="O166" s="48">
        <f>(C168 * IFERROR(VLOOKUP(D168,LunchTable[],3,FALSE),0)) + (C169 * IFERROR(VLOOKUP(D169,LunchTable[],3,FALSE),0)) + (C170 * IFERROR(VLOOKUP(D170,LunchTable[],3,FALSE),0)) + (C171 * IFERROR(VLOOKUP(D171,LunchTable[],3,FALSE),0))</f>
        <v>23.5</v>
      </c>
      <c r="P166" s="48">
        <f>(C168 * IFERROR(VLOOKUP(D168,LunchTable[],4,FALSE),0)) + (C169 * IFERROR(VLOOKUP(D169,LunchTable[],4,FALSE),0)) + (C170 * IFERROR(VLOOKUP(D170,LunchTable[],4,FALSE),0)) + (C171 * IFERROR(VLOOKUP(D171,LunchTable[],4,FALSE),0))</f>
        <v>55</v>
      </c>
    </row>
    <row r="167" spans="1:16" ht="18" thickBot="1" x14ac:dyDescent="0.35">
      <c r="A167" s="10" t="s">
        <v>34</v>
      </c>
      <c r="B167" s="11" t="s">
        <v>6</v>
      </c>
      <c r="C167" s="10" t="s">
        <v>34</v>
      </c>
      <c r="D167" s="11" t="s">
        <v>11</v>
      </c>
      <c r="E167" s="10" t="s">
        <v>34</v>
      </c>
      <c r="F167" s="11" t="s">
        <v>12</v>
      </c>
      <c r="G167" s="10" t="s">
        <v>34</v>
      </c>
      <c r="H167" s="12" t="s">
        <v>35</v>
      </c>
      <c r="I167" s="5" t="s">
        <v>41</v>
      </c>
      <c r="J167" s="5" t="s">
        <v>42</v>
      </c>
      <c r="K167" s="5" t="s">
        <v>43</v>
      </c>
      <c r="L167" s="45"/>
      <c r="M167" s="48" t="s">
        <v>12</v>
      </c>
      <c r="N167" s="48">
        <f>(E168 * IFERROR(VLOOKUP(F168,DinnerTable[],2,FALSE),0)) + (E169 * IFERROR(VLOOKUP(F169,DinnerTable[],2,FALSE),0)) + (E170 * IFERROR(VLOOKUP(F170,DinnerTable[],2,FALSE),0)) + (E171 * IFERROR(VLOOKUP(F171,DinnerTable[],2,FALSE),0))</f>
        <v>36</v>
      </c>
      <c r="O167" s="48">
        <f>(E168 * IFERROR(VLOOKUP(F168,DinnerTable[],3,FALSE),0)) + (E169 * IFERROR(VLOOKUP(F169,DinnerTable[],3,FALSE),0)) + (E170 * IFERROR(VLOOKUP(F170,DinnerTable[],3,FALSE),0)) + (E171 * IFERROR(VLOOKUP(F171,DinnerTable[],3,FALSE),0))</f>
        <v>9</v>
      </c>
      <c r="P167" s="48">
        <f>(E168 * IFERROR(VLOOKUP(F168,DinnerTable[],4,FALSE),0)) + (E169 * IFERROR(VLOOKUP(F169,DinnerTable[],4,FALSE),0)) + (E170 * IFERROR(VLOOKUP(F170,DinnerTable[],4,FALSE),0)) + (E171 * IFERROR(VLOOKUP(F171,DinnerTable[],4,FALSE),0))</f>
        <v>0</v>
      </c>
    </row>
    <row r="168" spans="1:16" ht="15.75" thickTop="1" x14ac:dyDescent="0.25">
      <c r="A168" s="17">
        <v>1</v>
      </c>
      <c r="B168" s="17" t="s">
        <v>26</v>
      </c>
      <c r="C168" s="17">
        <v>3</v>
      </c>
      <c r="D168" s="17" t="s">
        <v>29</v>
      </c>
      <c r="E168" s="17">
        <v>1.5</v>
      </c>
      <c r="F168" s="17" t="s">
        <v>63</v>
      </c>
      <c r="G168" s="17"/>
      <c r="H168" s="17"/>
      <c r="I168" s="2">
        <v>17</v>
      </c>
      <c r="J168" s="2">
        <v>8</v>
      </c>
      <c r="K168" s="2">
        <v>15</v>
      </c>
      <c r="L168" s="45"/>
      <c r="M168" s="48" t="s">
        <v>35</v>
      </c>
      <c r="N168" s="48">
        <f>(G168 * IFERROR(VLOOKUP(H168,PostWorkoutTable[],2,FALSE),0)) + (G169 * IFERROR(VLOOKUP(H169,PostWorkoutTable[],2,FALSE),0)) + (G170 * IFERROR(VLOOKUP(H170,PostWorkoutTable[],2,FALSE),0)) + (G171 * IFERROR(VLOOKUP(H171,PostWorkoutTable[],2,FALSE),0))</f>
        <v>0</v>
      </c>
      <c r="O168" s="48">
        <f>(G168 * IFERROR(VLOOKUP(H168,PostWorkoutTable[],3,FALSE),0)) + (G169 * IFERROR(VLOOKUP(H169,PostWorkoutTable[],3,FALSE),0)) + (G170 * IFERROR(VLOOKUP(H170,PostWorkoutTable[],3,FALSE),0)) + (G171 * IFERROR(VLOOKUP(H171,PostWorkoutTable[],3,FALSE),0))</f>
        <v>0</v>
      </c>
      <c r="P168" s="48">
        <f>(G168 * IFERROR(VLOOKUP(H168,PostWorkoutTable[],4,FALSE),0)) + (G169 * IFERROR(VLOOKUP(H169,PostWorkoutTable[],4,FALSE),0)) + (G170 * IFERROR(VLOOKUP(H170,PostWorkoutTable[],4,FALSE),0)) + (G171 * IFERROR(VLOOKUP(H171,PostWorkoutTable[],4,FALSE),0))</f>
        <v>0</v>
      </c>
    </row>
    <row r="169" spans="1:16" x14ac:dyDescent="0.25">
      <c r="A169" s="17"/>
      <c r="B169" s="17"/>
      <c r="C169" s="17">
        <v>1</v>
      </c>
      <c r="D169" s="17" t="s">
        <v>23</v>
      </c>
      <c r="E169" s="17"/>
      <c r="F169" s="17"/>
      <c r="G169" s="17"/>
      <c r="H169" s="17"/>
      <c r="I169" s="2">
        <v>1.5</v>
      </c>
      <c r="J169" s="2">
        <v>25</v>
      </c>
      <c r="K169" s="2">
        <v>33.5</v>
      </c>
      <c r="L169" s="45"/>
      <c r="M169" s="48" t="s">
        <v>21</v>
      </c>
      <c r="N169" s="48">
        <f xml:space="preserve"> SUM(I168:I171)</f>
        <v>18.5</v>
      </c>
      <c r="O169" s="48">
        <f>SUM(J168:J171)</f>
        <v>33</v>
      </c>
      <c r="P169" s="48">
        <f>SUM(K168:K171)</f>
        <v>48.5</v>
      </c>
    </row>
    <row r="170" spans="1:16" x14ac:dyDescent="0.25">
      <c r="A170" s="17"/>
      <c r="B170" s="17"/>
      <c r="C170" s="17">
        <v>1</v>
      </c>
      <c r="D170" s="17" t="s">
        <v>64</v>
      </c>
      <c r="E170" s="17"/>
      <c r="F170" s="17"/>
      <c r="G170" s="17"/>
      <c r="H170" s="17"/>
      <c r="I170" s="2"/>
      <c r="J170" s="2"/>
      <c r="K170" s="2"/>
      <c r="L170" s="45"/>
      <c r="M170" s="48" t="s">
        <v>38</v>
      </c>
      <c r="N170" s="48">
        <f>SUM(N165:N169)</f>
        <v>106.5</v>
      </c>
      <c r="O170" s="48">
        <f>SUM(O165:O169)</f>
        <v>74.5</v>
      </c>
      <c r="P170" s="48">
        <f>SUM(P165:P169)</f>
        <v>133.5</v>
      </c>
    </row>
    <row r="171" spans="1:16" x14ac:dyDescent="0.25">
      <c r="A171" s="17"/>
      <c r="B171" s="17"/>
      <c r="C171" s="17"/>
      <c r="D171" s="17"/>
      <c r="E171" s="17"/>
      <c r="F171" s="17"/>
      <c r="G171" s="17"/>
      <c r="H171" s="17"/>
      <c r="I171" s="2"/>
      <c r="J171" s="2"/>
      <c r="K171" s="2"/>
      <c r="L171" s="45"/>
      <c r="M171" s="45"/>
      <c r="N171" s="45"/>
      <c r="O171" s="45"/>
      <c r="P171" s="45"/>
    </row>
    <row r="172" spans="1:16" x14ac:dyDescent="0.25">
      <c r="A172" s="45"/>
      <c r="B172" s="45"/>
      <c r="C172" s="45"/>
      <c r="D172" s="45"/>
      <c r="E172" s="45"/>
      <c r="F172" s="45"/>
      <c r="G172" s="45"/>
      <c r="H172" s="45"/>
      <c r="I172" s="45"/>
      <c r="J172" s="45"/>
      <c r="K172" s="45"/>
      <c r="L172" s="45"/>
      <c r="M172" s="45"/>
      <c r="N172" s="45"/>
      <c r="O172" s="45"/>
      <c r="P172" s="45"/>
    </row>
    <row r="173" spans="1:16" ht="23.25" x14ac:dyDescent="0.35">
      <c r="A173" s="49">
        <v>43542</v>
      </c>
      <c r="B173" s="45"/>
      <c r="C173" s="45"/>
      <c r="D173" s="45"/>
      <c r="E173" s="45"/>
      <c r="F173" s="45"/>
      <c r="G173" s="45"/>
      <c r="H173" s="45"/>
      <c r="I173" s="45"/>
      <c r="J173" s="45"/>
      <c r="K173" s="45"/>
      <c r="L173" s="45"/>
      <c r="M173" s="45"/>
      <c r="N173" s="45"/>
      <c r="O173" s="45"/>
      <c r="P173" s="45"/>
    </row>
    <row r="174" spans="1:16" ht="18" thickBot="1" x14ac:dyDescent="0.35">
      <c r="A174" s="3" t="s">
        <v>48</v>
      </c>
      <c r="B174" s="3" t="s">
        <v>0</v>
      </c>
      <c r="C174" s="3" t="s">
        <v>36</v>
      </c>
      <c r="D174" s="3" t="s">
        <v>8</v>
      </c>
      <c r="E174" s="5" t="s">
        <v>9</v>
      </c>
      <c r="F174" s="5" t="s">
        <v>10</v>
      </c>
      <c r="G174" s="46"/>
      <c r="H174" s="47"/>
      <c r="I174" s="45"/>
      <c r="J174" s="45"/>
      <c r="K174" s="45"/>
      <c r="L174" s="45"/>
      <c r="M174" s="46"/>
      <c r="N174" s="48" t="s">
        <v>8</v>
      </c>
      <c r="O174" s="48" t="s">
        <v>9</v>
      </c>
      <c r="P174" s="48" t="s">
        <v>10</v>
      </c>
    </row>
    <row r="175" spans="1:16" ht="15.75" thickTop="1" x14ac:dyDescent="0.25">
      <c r="A175" s="18">
        <v>43542</v>
      </c>
      <c r="B175" s="16">
        <f>IFERROR(VLOOKUP(A175,OverviewTable[],2,FALSE),"?")</f>
        <v>128.80000000000001</v>
      </c>
      <c r="C175" s="16" t="str">
        <f>((N180 * 4) + (O180 * 9) + (P180 * 4))&amp;"/"&amp;IFERROR(VLOOKUP(A175,OverviewTable[],11,FALSE),"?")</f>
        <v>2624.7/2310.8</v>
      </c>
      <c r="D175" s="16" t="str">
        <f>N180&amp;"/"&amp;IFERROR(VLOOKUP(A175,OverviewTable[],12,FALSE),"?")</f>
        <v>160.3/129</v>
      </c>
      <c r="E175" s="16" t="str">
        <f>O180&amp;"/"&amp;IFERROR(VLOOKUP(A175,OverviewTable[],13,FALSE),"?")</f>
        <v>77.5/64</v>
      </c>
      <c r="F175" s="16" t="str">
        <f>P180&amp;"/"&amp;IFERROR(VLOOKUP(A175,OverviewTable[],14,FALSE),"?")</f>
        <v>321.5/305</v>
      </c>
      <c r="G175" s="47"/>
      <c r="H175" s="47"/>
      <c r="I175" s="45"/>
      <c r="J175" s="45"/>
      <c r="K175" s="45"/>
      <c r="L175" s="45"/>
      <c r="M175" s="48" t="s">
        <v>6</v>
      </c>
      <c r="N175" s="48">
        <f>(A178 * IFERROR(VLOOKUP(B178,BreakfastTable[],2,FALSE),0)) + (A179 * IFERROR(VLOOKUP(B179,BreakfastTable[],2,FALSE),0)) + (A180 * IFERROR(VLOOKUP(B180,BreakfastTable[],2,FALSE),0)) + (A181 * IFERROR(VLOOKUP(B181,BreakfastTable[],2,FALSE),0))</f>
        <v>21.6</v>
      </c>
      <c r="O175" s="48">
        <f>(A178 * IFERROR(VLOOKUP(B178,BreakfastTable[],3,FALSE),0)) + (A179 * IFERROR(VLOOKUP(B179,BreakfastTable[],3,FALSE),0)) + (A180 * IFERROR(VLOOKUP(B180,BreakfastTable[],3,FALSE),0)) + (A181 * IFERROR(VLOOKUP(B181,BreakfastTable[],3,FALSE),0))</f>
        <v>9.5</v>
      </c>
      <c r="P175" s="48">
        <f>(A178 * IFERROR(VLOOKUP(B178,BreakfastTable[],4,FALSE),0)) + (A179 * IFERROR(VLOOKUP(B179,BreakfastTable[],4,FALSE),0)) + (A180 * IFERROR(VLOOKUP(B180,BreakfastTable[],4,FALSE),0)) + (A181 * IFERROR(VLOOKUP(B181,BreakfastTable[],4,FALSE),0))</f>
        <v>64.3</v>
      </c>
    </row>
    <row r="176" spans="1:16" x14ac:dyDescent="0.25">
      <c r="A176" s="17"/>
      <c r="B176" s="17"/>
      <c r="C176" s="17"/>
      <c r="D176" s="17"/>
      <c r="E176" s="17"/>
      <c r="F176" s="17"/>
      <c r="G176" s="47"/>
      <c r="H176" s="47"/>
      <c r="I176" s="45"/>
      <c r="J176" s="45"/>
      <c r="K176" s="45"/>
      <c r="L176" s="45"/>
      <c r="M176" s="48" t="s">
        <v>11</v>
      </c>
      <c r="N176" s="48">
        <f>(C178 * IFERROR(VLOOKUP(D178,LunchTable[],2,FALSE),0)) + (C179 * IFERROR(VLOOKUP(D179,LunchTable[],2,FALSE),0)) + (C180 * IFERROR(VLOOKUP(D180,LunchTable[],2,FALSE),0)) + (C181 * IFERROR(VLOOKUP(D181,LunchTable[],2,FALSE),0))</f>
        <v>51</v>
      </c>
      <c r="O176" s="48">
        <f>(C178 * IFERROR(VLOOKUP(D178,LunchTable[],3,FALSE),0)) + (C179 * IFERROR(VLOOKUP(D179,LunchTable[],3,FALSE),0)) + (C180 * IFERROR(VLOOKUP(D180,LunchTable[],3,FALSE),0)) + (C181 * IFERROR(VLOOKUP(D181,LunchTable[],3,FALSE),0))</f>
        <v>15</v>
      </c>
      <c r="P176" s="48">
        <f>(C178 * IFERROR(VLOOKUP(D178,LunchTable[],4,FALSE),0)) + (C179 * IFERROR(VLOOKUP(D179,LunchTable[],4,FALSE),0)) + (C180 * IFERROR(VLOOKUP(D180,LunchTable[],4,FALSE),0)) + (C181 * IFERROR(VLOOKUP(D181,LunchTable[],4,FALSE),0))</f>
        <v>63</v>
      </c>
    </row>
    <row r="177" spans="1:16" ht="18" thickBot="1" x14ac:dyDescent="0.35">
      <c r="A177" s="10" t="s">
        <v>34</v>
      </c>
      <c r="B177" s="11" t="s">
        <v>6</v>
      </c>
      <c r="C177" s="10" t="s">
        <v>34</v>
      </c>
      <c r="D177" s="11" t="s">
        <v>11</v>
      </c>
      <c r="E177" s="10" t="s">
        <v>34</v>
      </c>
      <c r="F177" s="11" t="s">
        <v>12</v>
      </c>
      <c r="G177" s="10" t="s">
        <v>34</v>
      </c>
      <c r="H177" s="12" t="s">
        <v>35</v>
      </c>
      <c r="I177" s="5" t="s">
        <v>41</v>
      </c>
      <c r="J177" s="5" t="s">
        <v>42</v>
      </c>
      <c r="K177" s="5" t="s">
        <v>43</v>
      </c>
      <c r="L177" s="45"/>
      <c r="M177" s="48" t="s">
        <v>12</v>
      </c>
      <c r="N177" s="48">
        <f>(E178 * IFERROR(VLOOKUP(F178,DinnerTable[],2,FALSE),0)) + (E179 * IFERROR(VLOOKUP(F179,DinnerTable[],2,FALSE),0)) + (E180 * IFERROR(VLOOKUP(F180,DinnerTable[],2,FALSE),0)) + (E181 * IFERROR(VLOOKUP(F181,DinnerTable[],2,FALSE),0))</f>
        <v>55.5</v>
      </c>
      <c r="O177" s="48">
        <f>(E178 * IFERROR(VLOOKUP(F178,DinnerTable[],3,FALSE),0)) + (E179 * IFERROR(VLOOKUP(F179,DinnerTable[],3,FALSE),0)) + (E180 * IFERROR(VLOOKUP(F180,DinnerTable[],3,FALSE),0)) + (E181 * IFERROR(VLOOKUP(F181,DinnerTable[],3,FALSE),0))</f>
        <v>38.1</v>
      </c>
      <c r="P177" s="48">
        <f>(E178 * IFERROR(VLOOKUP(F178,DinnerTable[],4,FALSE),0)) + (E179 * IFERROR(VLOOKUP(F179,DinnerTable[],4,FALSE),0)) + (E180 * IFERROR(VLOOKUP(F180,DinnerTable[],4,FALSE),0)) + (E181 * IFERROR(VLOOKUP(F181,DinnerTable[],4,FALSE),0))</f>
        <v>143.80000000000001</v>
      </c>
    </row>
    <row r="178" spans="1:16" ht="15.75" thickTop="1" x14ac:dyDescent="0.25">
      <c r="A178" s="17">
        <v>1</v>
      </c>
      <c r="B178" s="17" t="s">
        <v>26</v>
      </c>
      <c r="C178" s="17">
        <v>1</v>
      </c>
      <c r="D178" s="17" t="s">
        <v>23</v>
      </c>
      <c r="E178" s="17">
        <v>0.5</v>
      </c>
      <c r="F178" s="17" t="s">
        <v>45</v>
      </c>
      <c r="G178" s="17">
        <v>1</v>
      </c>
      <c r="H178" s="17" t="s">
        <v>96</v>
      </c>
      <c r="I178" s="2"/>
      <c r="J178" s="2"/>
      <c r="K178" s="2"/>
      <c r="L178" s="45"/>
      <c r="M178" s="48" t="s">
        <v>35</v>
      </c>
      <c r="N178" s="48">
        <f>(G178 * IFERROR(VLOOKUP(H178,PostWorkoutTable[],2,FALSE),0)) + (G179 * IFERROR(VLOOKUP(H179,PostWorkoutTable[],2,FALSE),0)) + (G180 * IFERROR(VLOOKUP(H180,PostWorkoutTable[],2,FALSE),0)) + (G181 * IFERROR(VLOOKUP(H181,PostWorkoutTable[],2,FALSE),0))</f>
        <v>32.200000000000003</v>
      </c>
      <c r="O178" s="48">
        <f>(G178 * IFERROR(VLOOKUP(H178,PostWorkoutTable[],3,FALSE),0)) + (G179 * IFERROR(VLOOKUP(H179,PostWorkoutTable[],3,FALSE),0)) + (G180 * IFERROR(VLOOKUP(H180,PostWorkoutTable[],3,FALSE),0)) + (G181 * IFERROR(VLOOKUP(H181,PostWorkoutTable[],3,FALSE),0))</f>
        <v>14.9</v>
      </c>
      <c r="P178" s="48">
        <f>(G178 * IFERROR(VLOOKUP(H178,PostWorkoutTable[],4,FALSE),0)) + (G179 * IFERROR(VLOOKUP(H179,PostWorkoutTable[],4,FALSE),0)) + (G180 * IFERROR(VLOOKUP(H180,PostWorkoutTable[],4,FALSE),0)) + (G181 * IFERROR(VLOOKUP(H181,PostWorkoutTable[],4,FALSE),0))</f>
        <v>50.4</v>
      </c>
    </row>
    <row r="179" spans="1:16" x14ac:dyDescent="0.25">
      <c r="A179" s="17">
        <v>1</v>
      </c>
      <c r="B179" s="17" t="s">
        <v>27</v>
      </c>
      <c r="C179" s="17">
        <v>0.25</v>
      </c>
      <c r="D179" s="17" t="s">
        <v>51</v>
      </c>
      <c r="E179" s="17">
        <v>0.5</v>
      </c>
      <c r="F179" s="17" t="s">
        <v>92</v>
      </c>
      <c r="G179" s="17"/>
      <c r="H179" s="17"/>
      <c r="I179" s="2"/>
      <c r="J179" s="2"/>
      <c r="K179" s="2"/>
      <c r="L179" s="45"/>
      <c r="M179" s="48" t="s">
        <v>21</v>
      </c>
      <c r="N179" s="48">
        <f xml:space="preserve"> SUM(I178:I181)</f>
        <v>0</v>
      </c>
      <c r="O179" s="48">
        <f>SUM(J178:J181)</f>
        <v>0</v>
      </c>
      <c r="P179" s="48">
        <f>SUM(K178:K181)</f>
        <v>0</v>
      </c>
    </row>
    <row r="180" spans="1:16" x14ac:dyDescent="0.25">
      <c r="A180" s="17"/>
      <c r="B180" s="17"/>
      <c r="C180" s="17">
        <v>0.25</v>
      </c>
      <c r="D180" s="17" t="s">
        <v>52</v>
      </c>
      <c r="E180" s="17">
        <v>1</v>
      </c>
      <c r="F180" s="17" t="s">
        <v>91</v>
      </c>
      <c r="G180" s="17"/>
      <c r="H180" s="17"/>
      <c r="I180" s="2"/>
      <c r="J180" s="2"/>
      <c r="K180" s="2"/>
      <c r="L180" s="45"/>
      <c r="M180" s="48" t="s">
        <v>38</v>
      </c>
      <c r="N180" s="48">
        <f>SUM(N175:N179)</f>
        <v>160.30000000000001</v>
      </c>
      <c r="O180" s="48">
        <f>SUM(O175:O179)</f>
        <v>77.5</v>
      </c>
      <c r="P180" s="48">
        <f>SUM(P175:P179)</f>
        <v>321.5</v>
      </c>
    </row>
    <row r="181" spans="1:16" x14ac:dyDescent="0.25">
      <c r="A181" s="17"/>
      <c r="B181" s="17"/>
      <c r="C181" s="17">
        <v>1</v>
      </c>
      <c r="D181" s="17" t="s">
        <v>90</v>
      </c>
      <c r="E181" s="17">
        <v>1</v>
      </c>
      <c r="F181" s="17" t="s">
        <v>99</v>
      </c>
      <c r="G181" s="17"/>
      <c r="H181" s="17"/>
      <c r="I181" s="2"/>
      <c r="J181" s="2"/>
      <c r="K181" s="2"/>
      <c r="L181" s="45"/>
      <c r="M181" s="45"/>
      <c r="N181" s="45"/>
      <c r="O181" s="45"/>
      <c r="P181" s="45"/>
    </row>
    <row r="182" spans="1:16" x14ac:dyDescent="0.25">
      <c r="A182" s="45"/>
      <c r="B182" s="45"/>
      <c r="C182" s="45"/>
      <c r="D182" s="45"/>
      <c r="E182" s="45"/>
      <c r="F182" s="45"/>
      <c r="G182" s="45"/>
      <c r="H182" s="45"/>
      <c r="I182" s="45"/>
      <c r="J182" s="45"/>
      <c r="K182" s="45"/>
      <c r="L182" s="45"/>
      <c r="M182" s="45"/>
      <c r="N182" s="45"/>
      <c r="O182" s="45"/>
      <c r="P182" s="45"/>
    </row>
    <row r="183" spans="1:16" ht="23.25" x14ac:dyDescent="0.35">
      <c r="A183" s="49">
        <v>43543</v>
      </c>
      <c r="B183" s="45"/>
      <c r="C183" s="45"/>
      <c r="D183" s="45"/>
      <c r="E183" s="45"/>
      <c r="F183" s="45"/>
      <c r="G183" s="45"/>
      <c r="H183" s="45"/>
      <c r="I183" s="45"/>
      <c r="J183" s="45"/>
      <c r="K183" s="45"/>
      <c r="L183" s="45"/>
      <c r="M183" s="45"/>
      <c r="N183" s="45"/>
      <c r="O183" s="45"/>
      <c r="P183" s="45"/>
    </row>
    <row r="184" spans="1:16" ht="18" thickBot="1" x14ac:dyDescent="0.35">
      <c r="A184" s="3" t="s">
        <v>48</v>
      </c>
      <c r="B184" s="3" t="s">
        <v>0</v>
      </c>
      <c r="C184" s="3" t="s">
        <v>36</v>
      </c>
      <c r="D184" s="3" t="s">
        <v>8</v>
      </c>
      <c r="E184" s="5" t="s">
        <v>9</v>
      </c>
      <c r="F184" s="5" t="s">
        <v>10</v>
      </c>
      <c r="G184" s="46"/>
      <c r="H184" s="47"/>
      <c r="I184" s="45"/>
      <c r="J184" s="45"/>
      <c r="K184" s="45"/>
      <c r="L184" s="45"/>
      <c r="M184" s="46"/>
      <c r="N184" s="48" t="s">
        <v>8</v>
      </c>
      <c r="O184" s="48" t="s">
        <v>9</v>
      </c>
      <c r="P184" s="48" t="s">
        <v>10</v>
      </c>
    </row>
    <row r="185" spans="1:16" ht="15.75" thickTop="1" x14ac:dyDescent="0.25">
      <c r="A185" s="18">
        <v>43542</v>
      </c>
      <c r="B185" s="16">
        <f>IFERROR(VLOOKUP(A185,OverviewTable[],2,FALSE),"?")</f>
        <v>128.80000000000001</v>
      </c>
      <c r="C185" s="16" t="str">
        <f>((N190 * 4) + (O190 * 9) + (P190 * 4))&amp;"/"&amp;IFERROR(VLOOKUP(A185,OverviewTable[],11,FALSE),"?")</f>
        <v>2669.525/2310.8</v>
      </c>
      <c r="D185" s="16" t="str">
        <f>N190&amp;"/"&amp;IFERROR(VLOOKUP(A185,OverviewTable[],12,FALSE),"?")</f>
        <v>177.825/129</v>
      </c>
      <c r="E185" s="16" t="str">
        <f>O190&amp;"/"&amp;IFERROR(VLOOKUP(A185,OverviewTable[],13,FALSE),"?")</f>
        <v>105.625/64</v>
      </c>
      <c r="F185" s="16" t="str">
        <f>P190&amp;"/"&amp;IFERROR(VLOOKUP(A185,OverviewTable[],14,FALSE),"?")</f>
        <v>251.9/305</v>
      </c>
      <c r="G185" s="47"/>
      <c r="H185" s="47"/>
      <c r="I185" s="45"/>
      <c r="J185" s="45"/>
      <c r="K185" s="45"/>
      <c r="L185" s="45"/>
      <c r="M185" s="48" t="s">
        <v>6</v>
      </c>
      <c r="N185" s="48">
        <f>(A188 * IFERROR(VLOOKUP(B188,BreakfastTable[],2,FALSE),0)) + (A189 * IFERROR(VLOOKUP(B189,BreakfastTable[],2,FALSE),0)) + (A190 * IFERROR(VLOOKUP(B190,BreakfastTable[],2,FALSE),0)) + (A191 * IFERROR(VLOOKUP(B191,BreakfastTable[],2,FALSE),0))</f>
        <v>32.200000000000003</v>
      </c>
      <c r="O185" s="48">
        <f>(A188 * IFERROR(VLOOKUP(B188,BreakfastTable[],3,FALSE),0)) + (A189 * IFERROR(VLOOKUP(B189,BreakfastTable[],3,FALSE),0)) + (A190 * IFERROR(VLOOKUP(B190,BreakfastTable[],3,FALSE),0)) + (A191 * IFERROR(VLOOKUP(B191,BreakfastTable[],3,FALSE),0))</f>
        <v>14.7</v>
      </c>
      <c r="P185" s="48">
        <f>(A188 * IFERROR(VLOOKUP(B188,BreakfastTable[],4,FALSE),0)) + (A189 * IFERROR(VLOOKUP(B189,BreakfastTable[],4,FALSE),0)) + (A190 * IFERROR(VLOOKUP(B190,BreakfastTable[],4,FALSE),0)) + (A191 * IFERROR(VLOOKUP(B191,BreakfastTable[],4,FALSE),0))</f>
        <v>55.4</v>
      </c>
    </row>
    <row r="186" spans="1:16" x14ac:dyDescent="0.25">
      <c r="A186" s="17"/>
      <c r="B186" s="17"/>
      <c r="C186" s="17"/>
      <c r="D186" s="17"/>
      <c r="E186" s="17"/>
      <c r="F186" s="17"/>
      <c r="G186" s="47"/>
      <c r="H186" s="47"/>
      <c r="I186" s="45"/>
      <c r="J186" s="45"/>
      <c r="K186" s="45"/>
      <c r="L186" s="45"/>
      <c r="M186" s="48" t="s">
        <v>11</v>
      </c>
      <c r="N186" s="48">
        <f>(C188 * IFERROR(VLOOKUP(D188,LunchTable[],2,FALSE),0)) + (C189 * IFERROR(VLOOKUP(D189,LunchTable[],2,FALSE),0)) + (C190 * IFERROR(VLOOKUP(D190,LunchTable[],2,FALSE),0)) + (C191 * IFERROR(VLOOKUP(D191,LunchTable[],2,FALSE),0))</f>
        <v>62</v>
      </c>
      <c r="O186" s="48">
        <f>(C188 * IFERROR(VLOOKUP(D188,LunchTable[],3,FALSE),0)) + (C189 * IFERROR(VLOOKUP(D189,LunchTable[],3,FALSE),0)) + (C190 * IFERROR(VLOOKUP(D190,LunchTable[],3,FALSE),0)) + (C191 * IFERROR(VLOOKUP(D191,LunchTable[],3,FALSE),0))</f>
        <v>61</v>
      </c>
      <c r="P186" s="48">
        <f>(C188 * IFERROR(VLOOKUP(D188,LunchTable[],4,FALSE),0)) + (C189 * IFERROR(VLOOKUP(D189,LunchTable[],4,FALSE),0)) + (C190 * IFERROR(VLOOKUP(D190,LunchTable[],4,FALSE),0)) + (C191 * IFERROR(VLOOKUP(D191,LunchTable[],4,FALSE),0))</f>
        <v>142.5</v>
      </c>
    </row>
    <row r="187" spans="1:16" ht="18" thickBot="1" x14ac:dyDescent="0.35">
      <c r="A187" s="10" t="s">
        <v>34</v>
      </c>
      <c r="B187" s="11" t="s">
        <v>6</v>
      </c>
      <c r="C187" s="10" t="s">
        <v>34</v>
      </c>
      <c r="D187" s="11" t="s">
        <v>11</v>
      </c>
      <c r="E187" s="10" t="s">
        <v>34</v>
      </c>
      <c r="F187" s="11" t="s">
        <v>12</v>
      </c>
      <c r="G187" s="10" t="s">
        <v>34</v>
      </c>
      <c r="H187" s="12" t="s">
        <v>35</v>
      </c>
      <c r="I187" s="5" t="s">
        <v>41</v>
      </c>
      <c r="J187" s="5" t="s">
        <v>42</v>
      </c>
      <c r="K187" s="5" t="s">
        <v>43</v>
      </c>
      <c r="L187" s="45"/>
      <c r="M187" s="48" t="s">
        <v>12</v>
      </c>
      <c r="N187" s="48">
        <f>(E188 * IFERROR(VLOOKUP(F188,DinnerTable[],2,FALSE),0)) + (E189 * IFERROR(VLOOKUP(F189,DinnerTable[],2,FALSE),0)) + (E190 * IFERROR(VLOOKUP(F190,DinnerTable[],2,FALSE),0)) + (E191 * IFERROR(VLOOKUP(F191,DinnerTable[],2,FALSE),0))</f>
        <v>83.625</v>
      </c>
      <c r="O187" s="48">
        <f>(E188 * IFERROR(VLOOKUP(F188,DinnerTable[],3,FALSE),0)) + (E189 * IFERROR(VLOOKUP(F189,DinnerTable[],3,FALSE),0)) + (E190 * IFERROR(VLOOKUP(F190,DinnerTable[],3,FALSE),0)) + (E191 * IFERROR(VLOOKUP(F191,DinnerTable[],3,FALSE),0))</f>
        <v>29.925000000000001</v>
      </c>
      <c r="P187" s="48">
        <f>(E188 * IFERROR(VLOOKUP(F188,DinnerTable[],4,FALSE),0)) + (E189 * IFERROR(VLOOKUP(F189,DinnerTable[],4,FALSE),0)) + (E190 * IFERROR(VLOOKUP(F190,DinnerTable[],4,FALSE),0)) + (E191 * IFERROR(VLOOKUP(F191,DinnerTable[],4,FALSE),0))</f>
        <v>54</v>
      </c>
    </row>
    <row r="188" spans="1:16" ht="15.75" thickTop="1" x14ac:dyDescent="0.25">
      <c r="A188" s="17">
        <v>1</v>
      </c>
      <c r="B188" s="17" t="s">
        <v>97</v>
      </c>
      <c r="C188" s="17">
        <v>1</v>
      </c>
      <c r="D188" s="17" t="s">
        <v>54</v>
      </c>
      <c r="E188" s="17">
        <v>0.33</v>
      </c>
      <c r="F188" s="17" t="s">
        <v>60</v>
      </c>
      <c r="G188" s="17"/>
      <c r="H188" s="17"/>
      <c r="I188" s="2"/>
      <c r="J188" s="2"/>
      <c r="K188" s="2"/>
      <c r="L188" s="45"/>
      <c r="M188" s="48" t="s">
        <v>35</v>
      </c>
      <c r="N188" s="48">
        <f>(G188 * IFERROR(VLOOKUP(H188,PostWorkoutTable[],2,FALSE),0)) + (G189 * IFERROR(VLOOKUP(H189,PostWorkoutTable[],2,FALSE),0)) + (G190 * IFERROR(VLOOKUP(H190,PostWorkoutTable[],2,FALSE),0)) + (G191 * IFERROR(VLOOKUP(H191,PostWorkoutTable[],2,FALSE),0))</f>
        <v>0</v>
      </c>
      <c r="O188" s="48">
        <f>(G188 * IFERROR(VLOOKUP(H188,PostWorkoutTable[],3,FALSE),0)) + (G189 * IFERROR(VLOOKUP(H189,PostWorkoutTable[],3,FALSE),0)) + (G190 * IFERROR(VLOOKUP(H190,PostWorkoutTable[],3,FALSE),0)) + (G191 * IFERROR(VLOOKUP(H191,PostWorkoutTable[],3,FALSE),0))</f>
        <v>0</v>
      </c>
      <c r="P188" s="48">
        <f>(G188 * IFERROR(VLOOKUP(H188,PostWorkoutTable[],4,FALSE),0)) + (G189 * IFERROR(VLOOKUP(H189,PostWorkoutTable[],4,FALSE),0)) + (G190 * IFERROR(VLOOKUP(H190,PostWorkoutTable[],4,FALSE),0)) + (G191 * IFERROR(VLOOKUP(H191,PostWorkoutTable[],4,FALSE),0))</f>
        <v>0</v>
      </c>
    </row>
    <row r="189" spans="1:16" x14ac:dyDescent="0.25">
      <c r="A189" s="17"/>
      <c r="B189" s="17"/>
      <c r="C189" s="17">
        <v>1</v>
      </c>
      <c r="D189" s="17" t="s">
        <v>55</v>
      </c>
      <c r="E189" s="17">
        <v>3</v>
      </c>
      <c r="F189" s="17" t="s">
        <v>22</v>
      </c>
      <c r="G189" s="17"/>
      <c r="H189" s="17"/>
      <c r="I189" s="2"/>
      <c r="J189" s="2"/>
      <c r="K189" s="2"/>
      <c r="L189" s="45"/>
      <c r="M189" s="48" t="s">
        <v>21</v>
      </c>
      <c r="N189" s="48">
        <f xml:space="preserve"> SUM(I188:I191)</f>
        <v>0</v>
      </c>
      <c r="O189" s="48">
        <f>SUM(J188:J191)</f>
        <v>0</v>
      </c>
      <c r="P189" s="48">
        <f>SUM(K188:K191)</f>
        <v>0</v>
      </c>
    </row>
    <row r="190" spans="1:16" x14ac:dyDescent="0.25">
      <c r="A190" s="17"/>
      <c r="B190" s="17"/>
      <c r="C190" s="17">
        <v>1</v>
      </c>
      <c r="D190" s="17" t="s">
        <v>25</v>
      </c>
      <c r="E190" s="17"/>
      <c r="F190" s="17"/>
      <c r="G190" s="17"/>
      <c r="H190" s="17"/>
      <c r="I190" s="2"/>
      <c r="J190" s="2"/>
      <c r="K190" s="2"/>
      <c r="L190" s="45"/>
      <c r="M190" s="48" t="s">
        <v>38</v>
      </c>
      <c r="N190" s="48">
        <f>SUM(N185:N189)</f>
        <v>177.82499999999999</v>
      </c>
      <c r="O190" s="48">
        <f>SUM(O185:O189)</f>
        <v>105.625</v>
      </c>
      <c r="P190" s="48">
        <f>SUM(P185:P189)</f>
        <v>251.9</v>
      </c>
    </row>
    <row r="191" spans="1:16" x14ac:dyDescent="0.25">
      <c r="A191" s="17"/>
      <c r="B191" s="17"/>
      <c r="C191" s="17"/>
      <c r="D191" s="17"/>
      <c r="E191" s="17"/>
      <c r="F191" s="17"/>
      <c r="G191" s="17"/>
      <c r="H191" s="17"/>
      <c r="I191" s="2"/>
      <c r="J191" s="2"/>
      <c r="K191" s="2"/>
      <c r="L191" s="45"/>
      <c r="M191" s="45"/>
      <c r="N191" s="45"/>
      <c r="O191" s="45"/>
      <c r="P191" s="45"/>
    </row>
    <row r="192" spans="1:16" x14ac:dyDescent="0.25">
      <c r="A192" s="45"/>
      <c r="B192" s="45"/>
      <c r="C192" s="45"/>
      <c r="D192" s="45"/>
      <c r="E192" s="45"/>
      <c r="F192" s="45"/>
      <c r="G192" s="45"/>
      <c r="H192" s="45"/>
      <c r="I192" s="45"/>
      <c r="J192" s="45"/>
      <c r="K192" s="45"/>
      <c r="L192" s="45"/>
      <c r="M192" s="45"/>
      <c r="N192" s="45"/>
      <c r="O192" s="45"/>
      <c r="P192" s="45"/>
    </row>
    <row r="193" spans="1:16" ht="23.25" x14ac:dyDescent="0.35">
      <c r="A193" s="49">
        <v>43544</v>
      </c>
      <c r="B193" s="45"/>
      <c r="C193" s="45"/>
      <c r="D193" s="45"/>
      <c r="E193" s="45"/>
      <c r="F193" s="45"/>
      <c r="G193" s="45"/>
      <c r="H193" s="45"/>
      <c r="I193" s="45"/>
      <c r="J193" s="45"/>
      <c r="K193" s="45"/>
      <c r="L193" s="45"/>
      <c r="M193" s="45"/>
      <c r="N193" s="45"/>
      <c r="O193" s="45"/>
      <c r="P193" s="45"/>
    </row>
    <row r="194" spans="1:16" ht="18" thickBot="1" x14ac:dyDescent="0.35">
      <c r="A194" s="3" t="s">
        <v>48</v>
      </c>
      <c r="B194" s="3" t="s">
        <v>0</v>
      </c>
      <c r="C194" s="3" t="s">
        <v>36</v>
      </c>
      <c r="D194" s="3" t="s">
        <v>8</v>
      </c>
      <c r="E194" s="5" t="s">
        <v>9</v>
      </c>
      <c r="F194" s="5" t="s">
        <v>10</v>
      </c>
      <c r="G194" s="46"/>
      <c r="H194" s="47"/>
      <c r="I194" s="45"/>
      <c r="J194" s="45"/>
      <c r="K194" s="45"/>
      <c r="L194" s="45"/>
      <c r="M194" s="46"/>
      <c r="N194" s="48" t="s">
        <v>8</v>
      </c>
      <c r="O194" s="48" t="s">
        <v>9</v>
      </c>
      <c r="P194" s="48" t="s">
        <v>10</v>
      </c>
    </row>
    <row r="195" spans="1:16" ht="15.75" thickTop="1" x14ac:dyDescent="0.25">
      <c r="A195" s="18">
        <v>43542</v>
      </c>
      <c r="B195" s="16">
        <f>IFERROR(VLOOKUP(A195,OverviewTable[],2,FALSE),"?")</f>
        <v>128.80000000000001</v>
      </c>
      <c r="C195" s="16" t="str">
        <f>((N200 * 4) + (O200 * 9) + (P200 * 4))&amp;"/"&amp;IFERROR(VLOOKUP(A195,OverviewTable[],11,FALSE),"?")</f>
        <v>2170.8/2310.8</v>
      </c>
      <c r="D195" s="16" t="str">
        <f>N200&amp;"/"&amp;IFERROR(VLOOKUP(A195,OverviewTable[],12,FALSE),"?")</f>
        <v>94.1/129</v>
      </c>
      <c r="E195" s="16" t="str">
        <f>O200&amp;"/"&amp;IFERROR(VLOOKUP(A195,OverviewTable[],13,FALSE),"?")</f>
        <v>100/64</v>
      </c>
      <c r="F195" s="16" t="str">
        <f>P200&amp;"/"&amp;IFERROR(VLOOKUP(A195,OverviewTable[],14,FALSE),"?")</f>
        <v>223.6/305</v>
      </c>
      <c r="G195" s="47"/>
      <c r="H195" s="47"/>
      <c r="I195" s="45"/>
      <c r="J195" s="45"/>
      <c r="K195" s="45"/>
      <c r="L195" s="45"/>
      <c r="M195" s="48" t="s">
        <v>6</v>
      </c>
      <c r="N195" s="48">
        <f>(A198 * IFERROR(VLOOKUP(B198,BreakfastTable[],2,FALSE),0)) + (A199 * IFERROR(VLOOKUP(B199,BreakfastTable[],2,FALSE),0)) + (A200 * IFERROR(VLOOKUP(B200,BreakfastTable[],2,FALSE),0)) + (A201 * IFERROR(VLOOKUP(B201,BreakfastTable[],2,FALSE),0))</f>
        <v>20</v>
      </c>
      <c r="O195" s="48">
        <f>(A198 * IFERROR(VLOOKUP(B198,BreakfastTable[],3,FALSE),0)) + (A199 * IFERROR(VLOOKUP(B199,BreakfastTable[],3,FALSE),0)) + (A200 * IFERROR(VLOOKUP(B200,BreakfastTable[],3,FALSE),0)) + (A201 * IFERROR(VLOOKUP(B201,BreakfastTable[],3,FALSE),0))</f>
        <v>10</v>
      </c>
      <c r="P195" s="48">
        <f>(A198 * IFERROR(VLOOKUP(B198,BreakfastTable[],4,FALSE),0)) + (A199 * IFERROR(VLOOKUP(B199,BreakfastTable[],4,FALSE),0)) + (A200 * IFERROR(VLOOKUP(B200,BreakfastTable[],4,FALSE),0)) + (A201 * IFERROR(VLOOKUP(B201,BreakfastTable[],4,FALSE),0))</f>
        <v>21</v>
      </c>
    </row>
    <row r="196" spans="1:16" x14ac:dyDescent="0.25">
      <c r="A196" s="17"/>
      <c r="B196" s="17"/>
      <c r="C196" s="17"/>
      <c r="D196" s="17"/>
      <c r="E196" s="17"/>
      <c r="F196" s="17"/>
      <c r="G196" s="47"/>
      <c r="H196" s="47"/>
      <c r="I196" s="45"/>
      <c r="J196" s="45"/>
      <c r="K196" s="45"/>
      <c r="L196" s="45"/>
      <c r="M196" s="48" t="s">
        <v>11</v>
      </c>
      <c r="N196" s="48">
        <f>(C198 * IFERROR(VLOOKUP(D198,LunchTable[],2,FALSE),0)) + (C199 * IFERROR(VLOOKUP(D199,LunchTable[],2,FALSE),0)) + (C200 * IFERROR(VLOOKUP(D200,LunchTable[],2,FALSE),0)) + (C201 * IFERROR(VLOOKUP(D201,LunchTable[],2,FALSE),0))</f>
        <v>41.1</v>
      </c>
      <c r="O196" s="48">
        <f>(C198 * IFERROR(VLOOKUP(D198,LunchTable[],3,FALSE),0)) + (C199 * IFERROR(VLOOKUP(D199,LunchTable[],3,FALSE),0)) + (C200 * IFERROR(VLOOKUP(D200,LunchTable[],3,FALSE),0)) + (C201 * IFERROR(VLOOKUP(D201,LunchTable[],3,FALSE),0))</f>
        <v>41</v>
      </c>
      <c r="P196" s="48">
        <f>(C198 * IFERROR(VLOOKUP(D198,LunchTable[],4,FALSE),0)) + (C199 * IFERROR(VLOOKUP(D199,LunchTable[],4,FALSE),0)) + (C200 * IFERROR(VLOOKUP(D200,LunchTable[],4,FALSE),0)) + (C201 * IFERROR(VLOOKUP(D201,LunchTable[],4,FALSE),0))</f>
        <v>111.6</v>
      </c>
    </row>
    <row r="197" spans="1:16" ht="18" thickBot="1" x14ac:dyDescent="0.35">
      <c r="A197" s="10" t="s">
        <v>34</v>
      </c>
      <c r="B197" s="11" t="s">
        <v>6</v>
      </c>
      <c r="C197" s="10" t="s">
        <v>34</v>
      </c>
      <c r="D197" s="11" t="s">
        <v>11</v>
      </c>
      <c r="E197" s="10" t="s">
        <v>34</v>
      </c>
      <c r="F197" s="11" t="s">
        <v>12</v>
      </c>
      <c r="G197" s="10" t="s">
        <v>34</v>
      </c>
      <c r="H197" s="12" t="s">
        <v>35</v>
      </c>
      <c r="I197" s="5" t="s">
        <v>41</v>
      </c>
      <c r="J197" s="5" t="s">
        <v>42</v>
      </c>
      <c r="K197" s="5" t="s">
        <v>43</v>
      </c>
      <c r="L197" s="45"/>
      <c r="M197" s="48" t="s">
        <v>12</v>
      </c>
      <c r="N197" s="48">
        <f>(E198 * IFERROR(VLOOKUP(F198,DinnerTable[],2,FALSE),0)) + (E199 * IFERROR(VLOOKUP(F199,DinnerTable[],2,FALSE),0)) + (E200 * IFERROR(VLOOKUP(F200,DinnerTable[],2,FALSE),0)) + (E201 * IFERROR(VLOOKUP(F201,DinnerTable[],2,FALSE),0))</f>
        <v>0</v>
      </c>
      <c r="O197" s="48">
        <f>(E198 * IFERROR(VLOOKUP(F198,DinnerTable[],3,FALSE),0)) + (E199 * IFERROR(VLOOKUP(F199,DinnerTable[],3,FALSE),0)) + (E200 * IFERROR(VLOOKUP(F200,DinnerTable[],3,FALSE),0)) + (E201 * IFERROR(VLOOKUP(F201,DinnerTable[],3,FALSE),0))</f>
        <v>0</v>
      </c>
      <c r="P197" s="48">
        <f>(E198 * IFERROR(VLOOKUP(F198,DinnerTable[],4,FALSE),0)) + (E199 * IFERROR(VLOOKUP(F199,DinnerTable[],4,FALSE),0)) + (E200 * IFERROR(VLOOKUP(F200,DinnerTable[],4,FALSE),0)) + (E201 * IFERROR(VLOOKUP(F201,DinnerTable[],4,FALSE),0))</f>
        <v>0</v>
      </c>
    </row>
    <row r="198" spans="1:16" ht="15.75" thickTop="1" x14ac:dyDescent="0.25">
      <c r="A198" s="17">
        <v>1</v>
      </c>
      <c r="B198" s="17" t="s">
        <v>105</v>
      </c>
      <c r="C198" s="17">
        <v>4</v>
      </c>
      <c r="D198" s="17" t="s">
        <v>22</v>
      </c>
      <c r="E198" s="17"/>
      <c r="F198" s="17"/>
      <c r="G198" s="17"/>
      <c r="H198" s="17"/>
      <c r="I198" s="2">
        <v>12</v>
      </c>
      <c r="J198" s="2">
        <v>23</v>
      </c>
      <c r="K198" s="2">
        <v>28</v>
      </c>
      <c r="L198" s="45"/>
      <c r="M198" s="48" t="s">
        <v>35</v>
      </c>
      <c r="N198" s="48">
        <f>(G198 * IFERROR(VLOOKUP(H198,PostWorkoutTable[],2,FALSE),0)) + (G199 * IFERROR(VLOOKUP(H199,PostWorkoutTable[],2,FALSE),0)) + (G200 * IFERROR(VLOOKUP(H200,PostWorkoutTable[],2,FALSE),0)) + (G201 * IFERROR(VLOOKUP(H201,PostWorkoutTable[],2,FALSE),0))</f>
        <v>0</v>
      </c>
      <c r="O198" s="48">
        <f>(G198 * IFERROR(VLOOKUP(H198,PostWorkoutTable[],3,FALSE),0)) + (G199 * IFERROR(VLOOKUP(H199,PostWorkoutTable[],3,FALSE),0)) + (G200 * IFERROR(VLOOKUP(H200,PostWorkoutTable[],3,FALSE),0)) + (G201 * IFERROR(VLOOKUP(H201,PostWorkoutTable[],3,FALSE),0))</f>
        <v>0</v>
      </c>
      <c r="P198" s="48">
        <f>(G198 * IFERROR(VLOOKUP(H198,PostWorkoutTable[],4,FALSE),0)) + (G199 * IFERROR(VLOOKUP(H199,PostWorkoutTable[],4,FALSE),0)) + (G200 * IFERROR(VLOOKUP(H200,PostWorkoutTable[],4,FALSE),0)) + (G201 * IFERROR(VLOOKUP(H201,PostWorkoutTable[],4,FALSE),0))</f>
        <v>0</v>
      </c>
    </row>
    <row r="199" spans="1:16" x14ac:dyDescent="0.25">
      <c r="A199" s="17"/>
      <c r="B199" s="17"/>
      <c r="C199" s="17">
        <v>0.33</v>
      </c>
      <c r="D199" s="17" t="s">
        <v>28</v>
      </c>
      <c r="E199" s="17"/>
      <c r="F199" s="17"/>
      <c r="G199" s="17"/>
      <c r="H199" s="17"/>
      <c r="I199" s="2">
        <v>21</v>
      </c>
      <c r="J199" s="2">
        <v>26</v>
      </c>
      <c r="K199" s="2">
        <v>63</v>
      </c>
      <c r="L199" s="45"/>
      <c r="M199" s="48" t="s">
        <v>21</v>
      </c>
      <c r="N199" s="48">
        <f xml:space="preserve"> SUM(I198:I201)</f>
        <v>33</v>
      </c>
      <c r="O199" s="48">
        <f>SUM(J198:J201)</f>
        <v>49</v>
      </c>
      <c r="P199" s="48">
        <f>SUM(K198:K201)</f>
        <v>91</v>
      </c>
    </row>
    <row r="200" spans="1:16" x14ac:dyDescent="0.25">
      <c r="A200" s="17"/>
      <c r="B200" s="17"/>
      <c r="C200" s="17"/>
      <c r="D200" s="17"/>
      <c r="E200" s="17"/>
      <c r="F200" s="17"/>
      <c r="G200" s="17"/>
      <c r="H200" s="17"/>
      <c r="I200" s="2"/>
      <c r="J200" s="2"/>
      <c r="K200" s="2"/>
      <c r="L200" s="45"/>
      <c r="M200" s="48" t="s">
        <v>38</v>
      </c>
      <c r="N200" s="48">
        <f>SUM(N195:N199)</f>
        <v>94.1</v>
      </c>
      <c r="O200" s="48">
        <f>SUM(O195:O199)</f>
        <v>100</v>
      </c>
      <c r="P200" s="48">
        <f>SUM(P195:P199)</f>
        <v>223.6</v>
      </c>
    </row>
    <row r="201" spans="1:16" x14ac:dyDescent="0.25">
      <c r="A201" s="17"/>
      <c r="B201" s="17"/>
      <c r="C201" s="17"/>
      <c r="D201" s="17"/>
      <c r="E201" s="17"/>
      <c r="F201" s="17"/>
      <c r="G201" s="17"/>
      <c r="H201" s="17"/>
      <c r="I201" s="2"/>
      <c r="J201" s="2"/>
      <c r="K201" s="2"/>
      <c r="L201" s="45"/>
      <c r="M201" s="45"/>
      <c r="N201" s="45"/>
      <c r="O201" s="45"/>
      <c r="P201" s="45"/>
    </row>
    <row r="202" spans="1:16" x14ac:dyDescent="0.25">
      <c r="A202" s="45"/>
      <c r="B202" s="45"/>
      <c r="C202" s="45"/>
      <c r="D202" s="45"/>
      <c r="E202" s="45"/>
      <c r="F202" s="45"/>
      <c r="G202" s="45"/>
      <c r="H202" s="45"/>
      <c r="I202" s="45"/>
      <c r="J202" s="45"/>
      <c r="K202" s="45"/>
      <c r="L202" s="45"/>
      <c r="M202" s="45"/>
      <c r="N202" s="45"/>
      <c r="O202" s="45"/>
      <c r="P202" s="45"/>
    </row>
    <row r="203" spans="1:16" ht="23.25" x14ac:dyDescent="0.35">
      <c r="A203" s="49">
        <v>43545</v>
      </c>
      <c r="B203" s="45"/>
      <c r="C203" s="45"/>
      <c r="D203" s="45"/>
      <c r="E203" s="45"/>
      <c r="F203" s="45"/>
      <c r="G203" s="45"/>
      <c r="H203" s="45"/>
      <c r="I203" s="45"/>
      <c r="J203" s="45"/>
      <c r="K203" s="45"/>
      <c r="L203" s="45"/>
      <c r="M203" s="45"/>
      <c r="N203" s="45"/>
      <c r="O203" s="45"/>
      <c r="P203" s="45"/>
    </row>
    <row r="204" spans="1:16" ht="18" thickBot="1" x14ac:dyDescent="0.35">
      <c r="A204" s="3" t="s">
        <v>48</v>
      </c>
      <c r="B204" s="3" t="s">
        <v>0</v>
      </c>
      <c r="C204" s="3" t="s">
        <v>36</v>
      </c>
      <c r="D204" s="3" t="s">
        <v>8</v>
      </c>
      <c r="E204" s="5" t="s">
        <v>9</v>
      </c>
      <c r="F204" s="5" t="s">
        <v>10</v>
      </c>
      <c r="G204" s="46"/>
      <c r="H204" s="47"/>
      <c r="I204" s="45"/>
      <c r="J204" s="45"/>
      <c r="K204" s="45"/>
      <c r="L204" s="45"/>
      <c r="M204" s="46"/>
      <c r="N204" s="48" t="s">
        <v>8</v>
      </c>
      <c r="O204" s="48" t="s">
        <v>9</v>
      </c>
      <c r="P204" s="48" t="s">
        <v>10</v>
      </c>
    </row>
    <row r="205" spans="1:16" ht="15.75" thickTop="1" x14ac:dyDescent="0.25">
      <c r="A205" s="18">
        <v>43542</v>
      </c>
      <c r="B205" s="16">
        <f>IFERROR(VLOOKUP(A205,OverviewTable[],2,FALSE),"?")</f>
        <v>128.80000000000001</v>
      </c>
      <c r="C205" s="16" t="str">
        <f>((N210 * 4) + (O210 * 9) + (P210 * 4))&amp;"/"&amp;IFERROR(VLOOKUP(A205,OverviewTable[],11,FALSE),"?")</f>
        <v>1539.8/2310.8</v>
      </c>
      <c r="D205" s="16" t="str">
        <f>N210&amp;"/"&amp;IFERROR(VLOOKUP(A205,OverviewTable[],12,FALSE),"?")</f>
        <v>125.5/129</v>
      </c>
      <c r="E205" s="16" t="str">
        <f>O210&amp;"/"&amp;IFERROR(VLOOKUP(A205,OverviewTable[],13,FALSE),"?")</f>
        <v>64.2/64</v>
      </c>
      <c r="F205" s="16" t="str">
        <f>P210&amp;"/"&amp;IFERROR(VLOOKUP(A205,OverviewTable[],14,FALSE),"?")</f>
        <v>115/305</v>
      </c>
      <c r="G205" s="47"/>
      <c r="H205" s="47"/>
      <c r="I205" s="45"/>
      <c r="J205" s="45"/>
      <c r="K205" s="45"/>
      <c r="L205" s="45"/>
      <c r="M205" s="48" t="s">
        <v>6</v>
      </c>
      <c r="N205" s="48">
        <f>(A208 * IFERROR(VLOOKUP(B208,BreakfastTable[],2,FALSE),0)) + (A209 * IFERROR(VLOOKUP(B209,BreakfastTable[],2,FALSE),0)) + (A210 * IFERROR(VLOOKUP(B210,BreakfastTable[],2,FALSE),0)) + (A211 * IFERROR(VLOOKUP(B211,BreakfastTable[],2,FALSE),0))</f>
        <v>32.200000000000003</v>
      </c>
      <c r="O205" s="48">
        <f>(A208 * IFERROR(VLOOKUP(B208,BreakfastTable[],3,FALSE),0)) + (A209 * IFERROR(VLOOKUP(B209,BreakfastTable[],3,FALSE),0)) + (A210 * IFERROR(VLOOKUP(B210,BreakfastTable[],3,FALSE),0)) + (A211 * IFERROR(VLOOKUP(B211,BreakfastTable[],3,FALSE),0))</f>
        <v>14.9</v>
      </c>
      <c r="P205" s="48">
        <f>(A208 * IFERROR(VLOOKUP(B208,BreakfastTable[],4,FALSE),0)) + (A209 * IFERROR(VLOOKUP(B209,BreakfastTable[],4,FALSE),0)) + (A210 * IFERROR(VLOOKUP(B210,BreakfastTable[],4,FALSE),0)) + (A211 * IFERROR(VLOOKUP(B211,BreakfastTable[],4,FALSE),0))</f>
        <v>50.4</v>
      </c>
    </row>
    <row r="206" spans="1:16" x14ac:dyDescent="0.25">
      <c r="A206" s="17"/>
      <c r="B206" s="17"/>
      <c r="C206" s="17"/>
      <c r="D206" s="17"/>
      <c r="E206" s="17"/>
      <c r="F206" s="17"/>
      <c r="G206" s="47"/>
      <c r="H206" s="47"/>
      <c r="I206" s="45"/>
      <c r="J206" s="45"/>
      <c r="K206" s="45"/>
      <c r="L206" s="45"/>
      <c r="M206" s="48" t="s">
        <v>11</v>
      </c>
      <c r="N206" s="48">
        <f>(C208 * IFERROR(VLOOKUP(D208,LunchTable[],2,FALSE),0)) + (C209 * IFERROR(VLOOKUP(D209,LunchTable[],2,FALSE),0)) + (C210 * IFERROR(VLOOKUP(D210,LunchTable[],2,FALSE),0)) + (C211 * IFERROR(VLOOKUP(D211,LunchTable[],2,FALSE),0))</f>
        <v>43.5</v>
      </c>
      <c r="O206" s="48">
        <f>(C208 * IFERROR(VLOOKUP(D208,LunchTable[],3,FALSE),0)) + (C209 * IFERROR(VLOOKUP(D209,LunchTable[],3,FALSE),0)) + (C210 * IFERROR(VLOOKUP(D210,LunchTable[],3,FALSE),0)) + (C211 * IFERROR(VLOOKUP(D211,LunchTable[],3,FALSE),0))</f>
        <v>38.1</v>
      </c>
      <c r="P206" s="48">
        <f>(C208 * IFERROR(VLOOKUP(D208,LunchTable[],4,FALSE),0)) + (C209 * IFERROR(VLOOKUP(D209,LunchTable[],4,FALSE),0)) + (C210 * IFERROR(VLOOKUP(D210,LunchTable[],4,FALSE),0)) + (C211 * IFERROR(VLOOKUP(D211,LunchTable[],4,FALSE),0))</f>
        <v>3.8</v>
      </c>
    </row>
    <row r="207" spans="1:16" ht="18" thickBot="1" x14ac:dyDescent="0.35">
      <c r="A207" s="10" t="s">
        <v>34</v>
      </c>
      <c r="B207" s="11" t="s">
        <v>6</v>
      </c>
      <c r="C207" s="10" t="s">
        <v>34</v>
      </c>
      <c r="D207" s="11" t="s">
        <v>11</v>
      </c>
      <c r="E207" s="10" t="s">
        <v>34</v>
      </c>
      <c r="F207" s="11" t="s">
        <v>12</v>
      </c>
      <c r="G207" s="10" t="s">
        <v>34</v>
      </c>
      <c r="H207" s="12" t="s">
        <v>35</v>
      </c>
      <c r="I207" s="5" t="s">
        <v>41</v>
      </c>
      <c r="J207" s="5" t="s">
        <v>42</v>
      </c>
      <c r="K207" s="5" t="s">
        <v>43</v>
      </c>
      <c r="L207" s="45"/>
      <c r="M207" s="48" t="s">
        <v>12</v>
      </c>
      <c r="N207" s="48">
        <f>(E208 * IFERROR(VLOOKUP(F208,DinnerTable[],2,FALSE),0)) + (E209 * IFERROR(VLOOKUP(F209,DinnerTable[],2,FALSE),0)) + (E210 * IFERROR(VLOOKUP(F210,DinnerTable[],2,FALSE),0)) + (E211 * IFERROR(VLOOKUP(F211,DinnerTable[],2,FALSE),0))</f>
        <v>29.5</v>
      </c>
      <c r="O207" s="48">
        <f>(E208 * IFERROR(VLOOKUP(F208,DinnerTable[],3,FALSE),0)) + (E209 * IFERROR(VLOOKUP(F209,DinnerTable[],3,FALSE),0)) + (E210 * IFERROR(VLOOKUP(F210,DinnerTable[],3,FALSE),0)) + (E211 * IFERROR(VLOOKUP(F211,DinnerTable[],3,FALSE),0))</f>
        <v>1</v>
      </c>
      <c r="P207" s="48">
        <f>(E208 * IFERROR(VLOOKUP(F208,DinnerTable[],4,FALSE),0)) + (E209 * IFERROR(VLOOKUP(F209,DinnerTable[],4,FALSE),0)) + (E210 * IFERROR(VLOOKUP(F210,DinnerTable[],4,FALSE),0)) + (E211 * IFERROR(VLOOKUP(F211,DinnerTable[],4,FALSE),0))</f>
        <v>22.5</v>
      </c>
    </row>
    <row r="208" spans="1:16" ht="15.75" thickTop="1" x14ac:dyDescent="0.25">
      <c r="A208" s="17">
        <v>1</v>
      </c>
      <c r="B208" s="17" t="s">
        <v>96</v>
      </c>
      <c r="C208" s="17">
        <v>0.5</v>
      </c>
      <c r="D208" s="17" t="s">
        <v>45</v>
      </c>
      <c r="E208" s="17">
        <v>0.5</v>
      </c>
      <c r="F208" s="17" t="s">
        <v>32</v>
      </c>
      <c r="G208" s="17">
        <v>1</v>
      </c>
      <c r="H208" s="17" t="s">
        <v>105</v>
      </c>
      <c r="I208" s="2"/>
      <c r="J208" s="2"/>
      <c r="K208" s="2"/>
      <c r="L208" s="45"/>
      <c r="M208" s="48" t="s">
        <v>35</v>
      </c>
      <c r="N208" s="48">
        <f>(G208 * IFERROR(VLOOKUP(H208,PostWorkoutTable[],2,FALSE),0)) + (G209 * IFERROR(VLOOKUP(H209,PostWorkoutTable[],2,FALSE),0)) + (G210 * IFERROR(VLOOKUP(H210,PostWorkoutTable[],2,FALSE),0)) + (G211 * IFERROR(VLOOKUP(H211,PostWorkoutTable[],2,FALSE),0))</f>
        <v>20.3</v>
      </c>
      <c r="O208" s="48">
        <f>(G208 * IFERROR(VLOOKUP(H208,PostWorkoutTable[],3,FALSE),0)) + (G209 * IFERROR(VLOOKUP(H209,PostWorkoutTable[],3,FALSE),0)) + (G210 * IFERROR(VLOOKUP(H210,PostWorkoutTable[],3,FALSE),0)) + (G211 * IFERROR(VLOOKUP(H211,PostWorkoutTable[],3,FALSE),0))</f>
        <v>10.199999999999999</v>
      </c>
      <c r="P208" s="48">
        <f>(G208 * IFERROR(VLOOKUP(H208,PostWorkoutTable[],4,FALSE),0)) + (G209 * IFERROR(VLOOKUP(H209,PostWorkoutTable[],4,FALSE),0)) + (G210 * IFERROR(VLOOKUP(H210,PostWorkoutTable[],4,FALSE),0)) + (G211 * IFERROR(VLOOKUP(H211,PostWorkoutTable[],4,FALSE),0))</f>
        <v>38.299999999999997</v>
      </c>
    </row>
    <row r="209" spans="1:16" x14ac:dyDescent="0.25">
      <c r="A209" s="17"/>
      <c r="B209" s="17"/>
      <c r="C209" s="17">
        <v>0.5</v>
      </c>
      <c r="D209" s="17" t="s">
        <v>92</v>
      </c>
      <c r="E209" s="17">
        <v>1</v>
      </c>
      <c r="F209" s="17" t="s">
        <v>50</v>
      </c>
      <c r="G209" s="17">
        <v>1</v>
      </c>
      <c r="H209" s="17" t="s">
        <v>33</v>
      </c>
      <c r="I209" s="2"/>
      <c r="J209" s="2"/>
      <c r="K209" s="2"/>
      <c r="L209" s="45"/>
      <c r="M209" s="48" t="s">
        <v>21</v>
      </c>
      <c r="N209" s="48">
        <f xml:space="preserve"> SUM(I208:I211)</f>
        <v>0</v>
      </c>
      <c r="O209" s="48">
        <f>SUM(J208:J211)</f>
        <v>0</v>
      </c>
      <c r="P209" s="48">
        <f>SUM(K208:K211)</f>
        <v>0</v>
      </c>
    </row>
    <row r="210" spans="1:16" x14ac:dyDescent="0.25">
      <c r="A210" s="17"/>
      <c r="B210" s="17"/>
      <c r="C210" s="17">
        <v>1</v>
      </c>
      <c r="D210" s="17" t="s">
        <v>91</v>
      </c>
      <c r="E210" s="17"/>
      <c r="F210" s="17"/>
      <c r="G210" s="17"/>
      <c r="H210" s="17"/>
      <c r="I210" s="2"/>
      <c r="J210" s="2"/>
      <c r="K210" s="2"/>
      <c r="L210" s="45"/>
      <c r="M210" s="48" t="s">
        <v>38</v>
      </c>
      <c r="N210" s="48">
        <f>SUM(N205:N209)</f>
        <v>125.5</v>
      </c>
      <c r="O210" s="48">
        <f>SUM(O205:O209)</f>
        <v>64.2</v>
      </c>
      <c r="P210" s="48">
        <f>SUM(P205:P209)</f>
        <v>114.99999999999999</v>
      </c>
    </row>
    <row r="211" spans="1:16" x14ac:dyDescent="0.25">
      <c r="A211" s="17"/>
      <c r="B211" s="17"/>
      <c r="C211" s="17">
        <v>1</v>
      </c>
      <c r="D211" s="17" t="s">
        <v>99</v>
      </c>
      <c r="E211" s="17"/>
      <c r="F211" s="17"/>
      <c r="G211" s="17"/>
      <c r="H211" s="17"/>
      <c r="I211" s="2"/>
      <c r="J211" s="2"/>
      <c r="K211" s="2"/>
      <c r="L211" s="45"/>
      <c r="M211" s="45"/>
      <c r="N211" s="45"/>
      <c r="O211" s="45"/>
      <c r="P211" s="45"/>
    </row>
    <row r="212" spans="1:16" x14ac:dyDescent="0.25">
      <c r="A212" s="45"/>
      <c r="B212" s="45"/>
      <c r="C212" s="45"/>
      <c r="D212" s="45"/>
      <c r="E212" s="45"/>
      <c r="F212" s="45"/>
      <c r="G212" s="45"/>
      <c r="H212" s="45"/>
      <c r="I212" s="45"/>
      <c r="J212" s="45"/>
      <c r="K212" s="45"/>
      <c r="L212" s="45"/>
      <c r="M212" s="45"/>
      <c r="N212" s="45"/>
      <c r="O212" s="45"/>
      <c r="P212" s="45"/>
    </row>
    <row r="213" spans="1:16" ht="23.25" x14ac:dyDescent="0.35">
      <c r="A213" s="49">
        <v>43546</v>
      </c>
      <c r="B213" s="45"/>
      <c r="C213" s="45"/>
      <c r="D213" s="45"/>
      <c r="E213" s="45"/>
      <c r="F213" s="45"/>
      <c r="G213" s="45"/>
      <c r="H213" s="45"/>
      <c r="I213" s="45"/>
      <c r="J213" s="45"/>
      <c r="K213" s="45"/>
      <c r="L213" s="45"/>
      <c r="M213" s="45"/>
      <c r="N213" s="45"/>
      <c r="O213" s="45"/>
      <c r="P213" s="45"/>
    </row>
    <row r="214" spans="1:16" ht="18" thickBot="1" x14ac:dyDescent="0.35">
      <c r="A214" s="3" t="s">
        <v>48</v>
      </c>
      <c r="B214" s="3" t="s">
        <v>0</v>
      </c>
      <c r="C214" s="3" t="s">
        <v>36</v>
      </c>
      <c r="D214" s="3" t="s">
        <v>8</v>
      </c>
      <c r="E214" s="5" t="s">
        <v>9</v>
      </c>
      <c r="F214" s="5" t="s">
        <v>10</v>
      </c>
      <c r="G214" s="46"/>
      <c r="H214" s="47"/>
      <c r="I214" s="45"/>
      <c r="J214" s="45"/>
      <c r="K214" s="45"/>
      <c r="L214" s="45"/>
      <c r="M214" s="46"/>
      <c r="N214" s="48" t="s">
        <v>8</v>
      </c>
      <c r="O214" s="48" t="s">
        <v>9</v>
      </c>
      <c r="P214" s="48" t="s">
        <v>10</v>
      </c>
    </row>
    <row r="215" spans="1:16" ht="15.75" thickTop="1" x14ac:dyDescent="0.25">
      <c r="A215" s="18">
        <v>43542</v>
      </c>
      <c r="B215" s="16">
        <f>IFERROR(VLOOKUP(A215,OverviewTable[],2,FALSE),"?")</f>
        <v>128.80000000000001</v>
      </c>
      <c r="C215" s="16" t="str">
        <f>((N220 * 4) + (O220 * 9) + (P220 * 4))&amp;"/"&amp;IFERROR(VLOOKUP(A215,OverviewTable[],11,FALSE),"?")</f>
        <v>2200.75/2310.8</v>
      </c>
      <c r="D215" s="16" t="str">
        <f>N220&amp;"/"&amp;IFERROR(VLOOKUP(A215,OverviewTable[],12,FALSE),"?")</f>
        <v>117.75/129</v>
      </c>
      <c r="E215" s="16" t="str">
        <f>O220&amp;"/"&amp;IFERROR(VLOOKUP(A215,OverviewTable[],13,FALSE),"?")</f>
        <v>123.75/64</v>
      </c>
      <c r="F215" s="16" t="str">
        <f>P220&amp;"/"&amp;IFERROR(VLOOKUP(A215,OverviewTable[],14,FALSE),"?")</f>
        <v>154/305</v>
      </c>
      <c r="G215" s="47"/>
      <c r="H215" s="47"/>
      <c r="I215" s="45"/>
      <c r="J215" s="45"/>
      <c r="K215" s="45"/>
      <c r="L215" s="45"/>
      <c r="M215" s="48" t="s">
        <v>6</v>
      </c>
      <c r="N215" s="48">
        <f>(A218 * IFERROR(VLOOKUP(B218,BreakfastTable[],2,FALSE),0)) + (A219 * IFERROR(VLOOKUP(B219,BreakfastTable[],2,FALSE),0)) + (A220 * IFERROR(VLOOKUP(B220,BreakfastTable[],2,FALSE),0)) + (A221 * IFERROR(VLOOKUP(B221,BreakfastTable[],2,FALSE),0))</f>
        <v>20</v>
      </c>
      <c r="O215" s="48">
        <f>(A218 * IFERROR(VLOOKUP(B218,BreakfastTable[],3,FALSE),0)) + (A219 * IFERROR(VLOOKUP(B219,BreakfastTable[],3,FALSE),0)) + (A220 * IFERROR(VLOOKUP(B220,BreakfastTable[],3,FALSE),0)) + (A221 * IFERROR(VLOOKUP(B221,BreakfastTable[],3,FALSE),0))</f>
        <v>10</v>
      </c>
      <c r="P215" s="48">
        <f>(A218 * IFERROR(VLOOKUP(B218,BreakfastTable[],4,FALSE),0)) + (A219 * IFERROR(VLOOKUP(B219,BreakfastTable[],4,FALSE),0)) + (A220 * IFERROR(VLOOKUP(B220,BreakfastTable[],4,FALSE),0)) + (A221 * IFERROR(VLOOKUP(B221,BreakfastTable[],4,FALSE),0))</f>
        <v>21</v>
      </c>
    </row>
    <row r="216" spans="1:16" x14ac:dyDescent="0.25">
      <c r="A216" s="17"/>
      <c r="B216" s="17"/>
      <c r="C216" s="17"/>
      <c r="D216" s="17"/>
      <c r="E216" s="17"/>
      <c r="F216" s="17"/>
      <c r="G216" s="47"/>
      <c r="H216" s="47"/>
      <c r="I216" s="45"/>
      <c r="J216" s="45"/>
      <c r="K216" s="45"/>
      <c r="L216" s="45"/>
      <c r="M216" s="48" t="s">
        <v>11</v>
      </c>
      <c r="N216" s="48">
        <f>(C218 * IFERROR(VLOOKUP(D218,LunchTable[],2,FALSE),0)) + (C219 * IFERROR(VLOOKUP(D219,LunchTable[],2,FALSE),0)) + (C220 * IFERROR(VLOOKUP(D220,LunchTable[],2,FALSE),0)) + (C221 * IFERROR(VLOOKUP(D221,LunchTable[],2,FALSE),0))</f>
        <v>0</v>
      </c>
      <c r="O216" s="48">
        <f>(C218 * IFERROR(VLOOKUP(D218,LunchTable[],3,FALSE),0)) + (C219 * IFERROR(VLOOKUP(D219,LunchTable[],3,FALSE),0)) + (C220 * IFERROR(VLOOKUP(D220,LunchTable[],3,FALSE),0)) + (C221 * IFERROR(VLOOKUP(D221,LunchTable[],3,FALSE),0))</f>
        <v>0</v>
      </c>
      <c r="P216" s="48">
        <f>(C218 * IFERROR(VLOOKUP(D218,LunchTable[],4,FALSE),0)) + (C219 * IFERROR(VLOOKUP(D219,LunchTable[],4,FALSE),0)) + (C220 * IFERROR(VLOOKUP(D220,LunchTable[],4,FALSE),0)) + (C221 * IFERROR(VLOOKUP(D221,LunchTable[],4,FALSE),0))</f>
        <v>0</v>
      </c>
    </row>
    <row r="217" spans="1:16" ht="18" thickBot="1" x14ac:dyDescent="0.35">
      <c r="A217" s="10" t="s">
        <v>34</v>
      </c>
      <c r="B217" s="11" t="s">
        <v>6</v>
      </c>
      <c r="C217" s="10" t="s">
        <v>34</v>
      </c>
      <c r="D217" s="11" t="s">
        <v>11</v>
      </c>
      <c r="E217" s="10" t="s">
        <v>34</v>
      </c>
      <c r="F217" s="11" t="s">
        <v>12</v>
      </c>
      <c r="G217" s="10" t="s">
        <v>34</v>
      </c>
      <c r="H217" s="12" t="s">
        <v>35</v>
      </c>
      <c r="I217" s="5" t="s">
        <v>41</v>
      </c>
      <c r="J217" s="5" t="s">
        <v>42</v>
      </c>
      <c r="K217" s="5" t="s">
        <v>43</v>
      </c>
      <c r="L217" s="45"/>
      <c r="M217" s="48" t="s">
        <v>12</v>
      </c>
      <c r="N217" s="48">
        <f>(E218 * IFERROR(VLOOKUP(F218,DinnerTable[],2,FALSE),0)) + (E219 * IFERROR(VLOOKUP(F219,DinnerTable[],2,FALSE),0)) + (E220 * IFERROR(VLOOKUP(F220,DinnerTable[],2,FALSE),0)) + (E221 * IFERROR(VLOOKUP(F221,DinnerTable[],2,FALSE),0))</f>
        <v>39.75</v>
      </c>
      <c r="O217" s="48">
        <f>(E218 * IFERROR(VLOOKUP(F218,DinnerTable[],3,FALSE),0)) + (E219 * IFERROR(VLOOKUP(F219,DinnerTable[],3,FALSE),0)) + (E220 * IFERROR(VLOOKUP(F220,DinnerTable[],3,FALSE),0)) + (E221 * IFERROR(VLOOKUP(F221,DinnerTable[],3,FALSE),0))</f>
        <v>21.75</v>
      </c>
      <c r="P217" s="48">
        <f>(E218 * IFERROR(VLOOKUP(F218,DinnerTable[],4,FALSE),0)) + (E219 * IFERROR(VLOOKUP(F219,DinnerTable[],4,FALSE),0)) + (E220 * IFERROR(VLOOKUP(F220,DinnerTable[],4,FALSE),0)) + (E221 * IFERROR(VLOOKUP(F221,DinnerTable[],4,FALSE),0))</f>
        <v>63</v>
      </c>
    </row>
    <row r="218" spans="1:16" ht="15.75" thickTop="1" x14ac:dyDescent="0.25">
      <c r="A218" s="17">
        <v>1</v>
      </c>
      <c r="B218" s="17" t="s">
        <v>105</v>
      </c>
      <c r="C218" s="17"/>
      <c r="D218" s="17"/>
      <c r="E218" s="17">
        <v>0.75</v>
      </c>
      <c r="F218" s="17" t="s">
        <v>50</v>
      </c>
      <c r="G218" s="17"/>
      <c r="H218" s="17"/>
      <c r="I218" s="2">
        <v>48</v>
      </c>
      <c r="J218" s="2">
        <v>52</v>
      </c>
      <c r="K218" s="2">
        <v>47</v>
      </c>
      <c r="L218" s="45"/>
      <c r="M218" s="48" t="s">
        <v>35</v>
      </c>
      <c r="N218" s="48">
        <f>(G218 * IFERROR(VLOOKUP(H218,PostWorkoutTable[],2,FALSE),0)) + (G219 * IFERROR(VLOOKUP(H219,PostWorkoutTable[],2,FALSE),0)) + (G220 * IFERROR(VLOOKUP(H220,PostWorkoutTable[],2,FALSE),0)) + (G221 * IFERROR(VLOOKUP(H221,PostWorkoutTable[],2,FALSE),0))</f>
        <v>0</v>
      </c>
      <c r="O218" s="48">
        <f>(G218 * IFERROR(VLOOKUP(H218,PostWorkoutTable[],3,FALSE),0)) + (G219 * IFERROR(VLOOKUP(H219,PostWorkoutTable[],3,FALSE),0)) + (G220 * IFERROR(VLOOKUP(H220,PostWorkoutTable[],3,FALSE),0)) + (G221 * IFERROR(VLOOKUP(H221,PostWorkoutTable[],3,FALSE),0))</f>
        <v>0</v>
      </c>
      <c r="P218" s="48">
        <f>(G218 * IFERROR(VLOOKUP(H218,PostWorkoutTable[],4,FALSE),0)) + (G219 * IFERROR(VLOOKUP(H219,PostWorkoutTable[],4,FALSE),0)) + (G220 * IFERROR(VLOOKUP(H220,PostWorkoutTable[],4,FALSE),0)) + (G221 * IFERROR(VLOOKUP(H221,PostWorkoutTable[],4,FALSE),0))</f>
        <v>0</v>
      </c>
    </row>
    <row r="219" spans="1:16" x14ac:dyDescent="0.25">
      <c r="A219" s="17"/>
      <c r="B219" s="17"/>
      <c r="C219" s="17"/>
      <c r="D219" s="17"/>
      <c r="E219" s="17">
        <v>0.25</v>
      </c>
      <c r="F219" s="17" t="s">
        <v>99</v>
      </c>
      <c r="G219" s="17"/>
      <c r="H219" s="17"/>
      <c r="I219" s="2">
        <v>10</v>
      </c>
      <c r="J219" s="2">
        <v>40</v>
      </c>
      <c r="K219" s="2">
        <v>23</v>
      </c>
      <c r="L219" s="45"/>
      <c r="M219" s="48" t="s">
        <v>21</v>
      </c>
      <c r="N219" s="48">
        <f xml:space="preserve"> SUM(I218:I221)</f>
        <v>58</v>
      </c>
      <c r="O219" s="48">
        <f>SUM(J218:J221)</f>
        <v>92</v>
      </c>
      <c r="P219" s="48">
        <f>SUM(K218:K221)</f>
        <v>70</v>
      </c>
    </row>
    <row r="220" spans="1:16" x14ac:dyDescent="0.25">
      <c r="A220" s="17"/>
      <c r="B220" s="17"/>
      <c r="C220" s="17"/>
      <c r="D220" s="17"/>
      <c r="E220" s="17">
        <v>1</v>
      </c>
      <c r="F220" s="17" t="s">
        <v>66</v>
      </c>
      <c r="G220" s="17"/>
      <c r="H220" s="17"/>
      <c r="I220" s="2"/>
      <c r="J220" s="2"/>
      <c r="K220" s="2"/>
      <c r="L220" s="45"/>
      <c r="M220" s="48" t="s">
        <v>38</v>
      </c>
      <c r="N220" s="48">
        <f>SUM(N215:N219)</f>
        <v>117.75</v>
      </c>
      <c r="O220" s="48">
        <f>SUM(O215:O219)</f>
        <v>123.75</v>
      </c>
      <c r="P220" s="48">
        <f>SUM(P215:P219)</f>
        <v>154</v>
      </c>
    </row>
    <row r="221" spans="1:16" x14ac:dyDescent="0.25">
      <c r="A221" s="17"/>
      <c r="B221" s="17"/>
      <c r="C221" s="17"/>
      <c r="D221" s="17"/>
      <c r="E221" s="17">
        <v>1</v>
      </c>
      <c r="F221" s="17" t="s">
        <v>65</v>
      </c>
      <c r="G221" s="17"/>
      <c r="H221" s="17"/>
      <c r="I221" s="2"/>
      <c r="J221" s="2"/>
      <c r="K221" s="2"/>
      <c r="L221" s="45"/>
      <c r="M221" s="45"/>
      <c r="N221" s="45"/>
      <c r="O221" s="45"/>
      <c r="P221" s="45"/>
    </row>
    <row r="222" spans="1:16" x14ac:dyDescent="0.25">
      <c r="A222" s="45"/>
      <c r="B222" s="45"/>
      <c r="C222" s="45"/>
      <c r="D222" s="45"/>
      <c r="E222" s="45"/>
      <c r="F222" s="45"/>
      <c r="G222" s="45"/>
      <c r="H222" s="45"/>
      <c r="I222" s="45"/>
      <c r="J222" s="45"/>
      <c r="K222" s="45"/>
      <c r="L222" s="45"/>
      <c r="M222" s="45"/>
      <c r="N222" s="45"/>
      <c r="O222" s="45"/>
      <c r="P222" s="45"/>
    </row>
    <row r="223" spans="1:16" ht="23.25" x14ac:dyDescent="0.35">
      <c r="A223" s="49">
        <v>43547</v>
      </c>
      <c r="B223" s="45"/>
      <c r="C223" s="45"/>
      <c r="D223" s="45"/>
      <c r="E223" s="45"/>
      <c r="F223" s="45"/>
      <c r="G223" s="45"/>
      <c r="H223" s="45"/>
      <c r="I223" s="45"/>
      <c r="J223" s="45"/>
      <c r="K223" s="45"/>
      <c r="L223" s="45"/>
      <c r="M223" s="45"/>
      <c r="N223" s="45"/>
      <c r="O223" s="45"/>
      <c r="P223" s="45"/>
    </row>
    <row r="224" spans="1:16" ht="18" thickBot="1" x14ac:dyDescent="0.35">
      <c r="A224" s="3" t="s">
        <v>48</v>
      </c>
      <c r="B224" s="3" t="s">
        <v>0</v>
      </c>
      <c r="C224" s="3" t="s">
        <v>36</v>
      </c>
      <c r="D224" s="3" t="s">
        <v>8</v>
      </c>
      <c r="E224" s="5" t="s">
        <v>9</v>
      </c>
      <c r="F224" s="5" t="s">
        <v>10</v>
      </c>
      <c r="G224" s="46"/>
      <c r="H224" s="47"/>
      <c r="I224" s="45"/>
      <c r="J224" s="45"/>
      <c r="K224" s="45"/>
      <c r="L224" s="45"/>
      <c r="M224" s="46"/>
      <c r="N224" s="48" t="s">
        <v>8</v>
      </c>
      <c r="O224" s="48" t="s">
        <v>9</v>
      </c>
      <c r="P224" s="48" t="s">
        <v>10</v>
      </c>
    </row>
    <row r="225" spans="1:16" ht="15.75" thickTop="1" x14ac:dyDescent="0.25">
      <c r="A225" s="18">
        <v>43542</v>
      </c>
      <c r="B225" s="16">
        <f>IFERROR(VLOOKUP(A225,OverviewTable[],2,FALSE),"?")</f>
        <v>128.80000000000001</v>
      </c>
      <c r="C225" s="16" t="str">
        <f>((N230 * 4) + (O230 * 9) + (P230 * 4))&amp;"/"&amp;IFERROR(VLOOKUP(A225,OverviewTable[],11,FALSE),"?")</f>
        <v>2550.45/2310.8</v>
      </c>
      <c r="D225" s="16" t="str">
        <f>N230&amp;"/"&amp;IFERROR(VLOOKUP(A225,OverviewTable[],12,FALSE),"?")</f>
        <v>105.95/129</v>
      </c>
      <c r="E225" s="16" t="str">
        <f>O230&amp;"/"&amp;IFERROR(VLOOKUP(A225,OverviewTable[],13,FALSE),"?")</f>
        <v>101.45/64</v>
      </c>
      <c r="F225" s="16" t="str">
        <f>P230&amp;"/"&amp;IFERROR(VLOOKUP(A225,OverviewTable[],14,FALSE),"?")</f>
        <v>303.4/305</v>
      </c>
      <c r="G225" s="47"/>
      <c r="H225" s="47"/>
      <c r="I225" s="45"/>
      <c r="J225" s="45"/>
      <c r="K225" s="45"/>
      <c r="L225" s="45"/>
      <c r="M225" s="48" t="s">
        <v>6</v>
      </c>
      <c r="N225" s="48">
        <f>(A228 * IFERROR(VLOOKUP(B228,BreakfastTable[],2,FALSE),0)) + (A229 * IFERROR(VLOOKUP(B229,BreakfastTable[],2,FALSE),0)) + (A230 * IFERROR(VLOOKUP(B230,BreakfastTable[],2,FALSE),0)) + (A231 * IFERROR(VLOOKUP(B231,BreakfastTable[],2,FALSE),0))</f>
        <v>0</v>
      </c>
      <c r="O225" s="48">
        <f>(A228 * IFERROR(VLOOKUP(B228,BreakfastTable[],3,FALSE),0)) + (A229 * IFERROR(VLOOKUP(B229,BreakfastTable[],3,FALSE),0)) + (A230 * IFERROR(VLOOKUP(B230,BreakfastTable[],3,FALSE),0)) + (A231 * IFERROR(VLOOKUP(B231,BreakfastTable[],3,FALSE),0))</f>
        <v>0</v>
      </c>
      <c r="P225" s="48">
        <f>(A228 * IFERROR(VLOOKUP(B228,BreakfastTable[],4,FALSE),0)) + (A229 * IFERROR(VLOOKUP(B229,BreakfastTable[],4,FALSE),0)) + (A230 * IFERROR(VLOOKUP(B230,BreakfastTable[],4,FALSE),0)) + (A231 * IFERROR(VLOOKUP(B231,BreakfastTable[],4,FALSE),0))</f>
        <v>0</v>
      </c>
    </row>
    <row r="226" spans="1:16" x14ac:dyDescent="0.25">
      <c r="A226" s="17"/>
      <c r="B226" s="17"/>
      <c r="C226" s="17"/>
      <c r="D226" s="17"/>
      <c r="E226" s="17"/>
      <c r="F226" s="17"/>
      <c r="G226" s="47"/>
      <c r="H226" s="47"/>
      <c r="I226" s="45"/>
      <c r="J226" s="45"/>
      <c r="K226" s="45"/>
      <c r="L226" s="45"/>
      <c r="M226" s="48" t="s">
        <v>11</v>
      </c>
      <c r="N226" s="48">
        <f>(C228 * IFERROR(VLOOKUP(D228,LunchTable[],2,FALSE),0)) + (C229 * IFERROR(VLOOKUP(D229,LunchTable[],2,FALSE),0)) + (C230 * IFERROR(VLOOKUP(D230,LunchTable[],2,FALSE),0)) + (C231 * IFERROR(VLOOKUP(D231,LunchTable[],2,FALSE),0))</f>
        <v>0</v>
      </c>
      <c r="O226" s="48">
        <f>(C228 * IFERROR(VLOOKUP(D228,LunchTable[],3,FALSE),0)) + (C229 * IFERROR(VLOOKUP(D229,LunchTable[],3,FALSE),0)) + (C230 * IFERROR(VLOOKUP(D230,LunchTable[],3,FALSE),0)) + (C231 * IFERROR(VLOOKUP(D231,LunchTable[],3,FALSE),0))</f>
        <v>0</v>
      </c>
      <c r="P226" s="48">
        <f>(C228 * IFERROR(VLOOKUP(D228,LunchTable[],4,FALSE),0)) + (C229 * IFERROR(VLOOKUP(D229,LunchTable[],4,FALSE),0)) + (C230 * IFERROR(VLOOKUP(D230,LunchTable[],4,FALSE),0)) + (C231 * IFERROR(VLOOKUP(D231,LunchTable[],4,FALSE),0))</f>
        <v>0</v>
      </c>
    </row>
    <row r="227" spans="1:16" ht="18" thickBot="1" x14ac:dyDescent="0.35">
      <c r="A227" s="10" t="s">
        <v>34</v>
      </c>
      <c r="B227" s="11" t="s">
        <v>6</v>
      </c>
      <c r="C227" s="10" t="s">
        <v>34</v>
      </c>
      <c r="D227" s="11" t="s">
        <v>11</v>
      </c>
      <c r="E227" s="10" t="s">
        <v>34</v>
      </c>
      <c r="F227" s="11" t="s">
        <v>12</v>
      </c>
      <c r="G227" s="10" t="s">
        <v>34</v>
      </c>
      <c r="H227" s="12" t="s">
        <v>35</v>
      </c>
      <c r="I227" s="5" t="s">
        <v>41</v>
      </c>
      <c r="J227" s="5" t="s">
        <v>42</v>
      </c>
      <c r="K227" s="5" t="s">
        <v>43</v>
      </c>
      <c r="L227" s="45"/>
      <c r="M227" s="48" t="s">
        <v>12</v>
      </c>
      <c r="N227" s="48">
        <f>(E228 * IFERROR(VLOOKUP(F228,DinnerTable[],2,FALSE),0)) + (E229 * IFERROR(VLOOKUP(F229,DinnerTable[],2,FALSE),0)) + (E230 * IFERROR(VLOOKUP(F230,DinnerTable[],2,FALSE),0)) + (E231 * IFERROR(VLOOKUP(F231,DinnerTable[],2,FALSE),0))</f>
        <v>36.75</v>
      </c>
      <c r="O227" s="48">
        <f>(E228 * IFERROR(VLOOKUP(F228,DinnerTable[],3,FALSE),0)) + (E229 * IFERROR(VLOOKUP(F229,DinnerTable[],3,FALSE),0)) + (E230 * IFERROR(VLOOKUP(F230,DinnerTable[],3,FALSE),0)) + (E231 * IFERROR(VLOOKUP(F231,DinnerTable[],3,FALSE),0))</f>
        <v>21.75</v>
      </c>
      <c r="P227" s="48">
        <f>(E228 * IFERROR(VLOOKUP(F228,DinnerTable[],4,FALSE),0)) + (E229 * IFERROR(VLOOKUP(F229,DinnerTable[],4,FALSE),0)) + (E230 * IFERROR(VLOOKUP(F230,DinnerTable[],4,FALSE),0)) + (E231 * IFERROR(VLOOKUP(F231,DinnerTable[],4,FALSE),0))</f>
        <v>28</v>
      </c>
    </row>
    <row r="228" spans="1:16" ht="15.75" thickTop="1" x14ac:dyDescent="0.25">
      <c r="A228" s="17"/>
      <c r="B228" s="17"/>
      <c r="C228" s="17"/>
      <c r="D228" s="17"/>
      <c r="E228" s="17">
        <v>0.75</v>
      </c>
      <c r="F228" s="17" t="s">
        <v>50</v>
      </c>
      <c r="G228" s="17">
        <v>1</v>
      </c>
      <c r="H228" s="17" t="s">
        <v>97</v>
      </c>
      <c r="I228" s="2">
        <v>4</v>
      </c>
      <c r="J228" s="2">
        <v>14</v>
      </c>
      <c r="K228" s="2">
        <v>54</v>
      </c>
      <c r="L228" s="45"/>
      <c r="M228" s="48" t="s">
        <v>35</v>
      </c>
      <c r="N228" s="48">
        <f>(G228 * IFERROR(VLOOKUP(H228,PostWorkoutTable[],2,FALSE),0)) + (G229 * IFERROR(VLOOKUP(H229,PostWorkoutTable[],2,FALSE),0)) + (G230 * IFERROR(VLOOKUP(H230,PostWorkoutTable[],2,FALSE),0)) + (G231 * IFERROR(VLOOKUP(H231,PostWorkoutTable[],2,FALSE),0))</f>
        <v>32.200000000000003</v>
      </c>
      <c r="O228" s="48">
        <f>(G228 * IFERROR(VLOOKUP(H228,PostWorkoutTable[],3,FALSE),0)) + (G229 * IFERROR(VLOOKUP(H229,PostWorkoutTable[],3,FALSE),0)) + (G230 * IFERROR(VLOOKUP(H230,PostWorkoutTable[],3,FALSE),0)) + (G231 * IFERROR(VLOOKUP(H231,PostWorkoutTable[],3,FALSE),0))</f>
        <v>14.7</v>
      </c>
      <c r="P228" s="48">
        <f>(G228 * IFERROR(VLOOKUP(H228,PostWorkoutTable[],4,FALSE),0)) + (G229 * IFERROR(VLOOKUP(H229,PostWorkoutTable[],4,FALSE),0)) + (G230 * IFERROR(VLOOKUP(H230,PostWorkoutTable[],4,FALSE),0)) + (G231 * IFERROR(VLOOKUP(H231,PostWorkoutTable[],4,FALSE),0))</f>
        <v>55.4</v>
      </c>
    </row>
    <row r="229" spans="1:16" x14ac:dyDescent="0.25">
      <c r="A229" s="17"/>
      <c r="B229" s="17"/>
      <c r="C229" s="17"/>
      <c r="D229" s="17"/>
      <c r="E229" s="17">
        <v>1</v>
      </c>
      <c r="F229" s="17" t="s">
        <v>65</v>
      </c>
      <c r="G229" s="17"/>
      <c r="H229" s="17"/>
      <c r="I229" s="2">
        <v>13</v>
      </c>
      <c r="J229" s="2">
        <v>14</v>
      </c>
      <c r="K229" s="2">
        <v>52</v>
      </c>
      <c r="L229" s="45"/>
      <c r="M229" s="48" t="s">
        <v>21</v>
      </c>
      <c r="N229" s="48">
        <f xml:space="preserve"> SUM(I228:I231)</f>
        <v>37</v>
      </c>
      <c r="O229" s="48">
        <f>SUM(J228:J231)</f>
        <v>65</v>
      </c>
      <c r="P229" s="48">
        <f>SUM(K228:K231)</f>
        <v>220</v>
      </c>
    </row>
    <row r="230" spans="1:16" x14ac:dyDescent="0.25">
      <c r="A230" s="17"/>
      <c r="B230" s="17"/>
      <c r="C230" s="17"/>
      <c r="D230" s="17"/>
      <c r="E230" s="17">
        <v>1</v>
      </c>
      <c r="F230" s="17" t="s">
        <v>66</v>
      </c>
      <c r="G230" s="17"/>
      <c r="H230" s="17"/>
      <c r="I230" s="2">
        <v>20</v>
      </c>
      <c r="J230" s="2">
        <v>37</v>
      </c>
      <c r="K230" s="2">
        <v>114</v>
      </c>
      <c r="L230" s="45"/>
      <c r="M230" s="48" t="s">
        <v>38</v>
      </c>
      <c r="N230" s="48">
        <f>SUM(N225:N229)</f>
        <v>105.95</v>
      </c>
      <c r="O230" s="48">
        <f>SUM(O225:O229)</f>
        <v>101.45</v>
      </c>
      <c r="P230" s="48">
        <f>SUM(P225:P229)</f>
        <v>303.39999999999998</v>
      </c>
    </row>
    <row r="231" spans="1:16" x14ac:dyDescent="0.25">
      <c r="A231" s="17"/>
      <c r="B231" s="17"/>
      <c r="C231" s="17"/>
      <c r="D231" s="17"/>
      <c r="E231" s="17"/>
      <c r="F231" s="17"/>
      <c r="G231" s="17"/>
      <c r="H231" s="17"/>
      <c r="I231" s="2"/>
      <c r="J231" s="2"/>
      <c r="K231" s="2"/>
      <c r="L231" s="45"/>
      <c r="M231" s="45"/>
      <c r="N231" s="45"/>
      <c r="O231" s="45"/>
      <c r="P231" s="45"/>
    </row>
    <row r="232" spans="1:16" x14ac:dyDescent="0.25">
      <c r="A232" s="45"/>
      <c r="B232" s="45"/>
      <c r="C232" s="45"/>
      <c r="D232" s="45"/>
      <c r="E232" s="45"/>
      <c r="F232" s="45"/>
      <c r="G232" s="45"/>
      <c r="H232" s="45"/>
      <c r="I232" s="45"/>
      <c r="J232" s="45"/>
      <c r="K232" s="45"/>
      <c r="L232" s="45"/>
      <c r="M232" s="45"/>
      <c r="N232" s="45"/>
      <c r="O232" s="45"/>
      <c r="P232" s="45"/>
    </row>
    <row r="233" spans="1:16" ht="23.25" x14ac:dyDescent="0.35">
      <c r="A233" s="49">
        <v>43548</v>
      </c>
      <c r="B233" s="45"/>
      <c r="C233" s="45"/>
      <c r="D233" s="45"/>
      <c r="E233" s="45"/>
      <c r="F233" s="45"/>
      <c r="G233" s="45"/>
      <c r="H233" s="45"/>
      <c r="I233" s="45"/>
      <c r="J233" s="45"/>
      <c r="K233" s="45"/>
      <c r="L233" s="45"/>
      <c r="M233" s="45"/>
      <c r="N233" s="45"/>
      <c r="O233" s="45"/>
      <c r="P233" s="45"/>
    </row>
    <row r="234" spans="1:16" ht="18" thickBot="1" x14ac:dyDescent="0.35">
      <c r="A234" s="3" t="s">
        <v>48</v>
      </c>
      <c r="B234" s="3" t="s">
        <v>0</v>
      </c>
      <c r="C234" s="3" t="s">
        <v>36</v>
      </c>
      <c r="D234" s="3" t="s">
        <v>8</v>
      </c>
      <c r="E234" s="5" t="s">
        <v>9</v>
      </c>
      <c r="F234" s="5" t="s">
        <v>10</v>
      </c>
      <c r="G234" s="46"/>
      <c r="H234" s="47"/>
      <c r="I234" s="45"/>
      <c r="J234" s="45"/>
      <c r="K234" s="45"/>
      <c r="L234" s="45"/>
      <c r="M234" s="46"/>
      <c r="N234" s="48" t="s">
        <v>8</v>
      </c>
      <c r="O234" s="48" t="s">
        <v>9</v>
      </c>
      <c r="P234" s="48" t="s">
        <v>10</v>
      </c>
    </row>
    <row r="235" spans="1:16" ht="15.75" thickTop="1" x14ac:dyDescent="0.25">
      <c r="A235" s="18">
        <v>43542</v>
      </c>
      <c r="B235" s="16">
        <f>IFERROR(VLOOKUP(A235,OverviewTable[],2,FALSE),"?")</f>
        <v>128.80000000000001</v>
      </c>
      <c r="C235" s="16" t="str">
        <f>((N240 * 4) + (O240 * 9) + (P240 * 4))&amp;"/"&amp;IFERROR(VLOOKUP(A235,OverviewTable[],11,FALSE),"?")</f>
        <v>2350.7/2310.8</v>
      </c>
      <c r="D235" s="16" t="str">
        <f>N240&amp;"/"&amp;IFERROR(VLOOKUP(A235,OverviewTable[],12,FALSE),"?")</f>
        <v>125.5/129</v>
      </c>
      <c r="E235" s="16" t="str">
        <f>O240&amp;"/"&amp;IFERROR(VLOOKUP(A235,OverviewTable[],13,FALSE),"?")</f>
        <v>97.1/64</v>
      </c>
      <c r="F235" s="16" t="str">
        <f>P240&amp;"/"&amp;IFERROR(VLOOKUP(A235,OverviewTable[],14,FALSE),"?")</f>
        <v>243.7/305</v>
      </c>
      <c r="G235" s="47"/>
      <c r="H235" s="47"/>
      <c r="I235" s="45"/>
      <c r="J235" s="45"/>
      <c r="K235" s="45"/>
      <c r="L235" s="45"/>
      <c r="M235" s="48" t="s">
        <v>6</v>
      </c>
      <c r="N235" s="48">
        <f>(A238 * IFERROR(VLOOKUP(B238,BreakfastTable[],2,FALSE),0)) + (A239 * IFERROR(VLOOKUP(B239,BreakfastTable[],2,FALSE),0)) + (A240 * IFERROR(VLOOKUP(B240,BreakfastTable[],2,FALSE),0)) + (A241 * IFERROR(VLOOKUP(B241,BreakfastTable[],2,FALSE),0))</f>
        <v>28</v>
      </c>
      <c r="O235" s="48">
        <f>(A238 * IFERROR(VLOOKUP(B238,BreakfastTable[],3,FALSE),0)) + (A239 * IFERROR(VLOOKUP(B239,BreakfastTable[],3,FALSE),0)) + (A240 * IFERROR(VLOOKUP(B240,BreakfastTable[],3,FALSE),0)) + (A241 * IFERROR(VLOOKUP(B241,BreakfastTable[],3,FALSE),0))</f>
        <v>18</v>
      </c>
      <c r="P235" s="48">
        <f>(A238 * IFERROR(VLOOKUP(B238,BreakfastTable[],4,FALSE),0)) + (A239 * IFERROR(VLOOKUP(B239,BreakfastTable[],4,FALSE),0)) + (A240 * IFERROR(VLOOKUP(B240,BreakfastTable[],4,FALSE),0)) + (A241 * IFERROR(VLOOKUP(B241,BreakfastTable[],4,FALSE),0))</f>
        <v>0</v>
      </c>
    </row>
    <row r="236" spans="1:16" x14ac:dyDescent="0.25">
      <c r="A236" s="17"/>
      <c r="B236" s="17"/>
      <c r="C236" s="17"/>
      <c r="D236" s="17"/>
      <c r="E236" s="17"/>
      <c r="F236" s="17"/>
      <c r="G236" s="47"/>
      <c r="H236" s="47"/>
      <c r="I236" s="45"/>
      <c r="J236" s="45"/>
      <c r="K236" s="45"/>
      <c r="L236" s="45"/>
      <c r="M236" s="48" t="s">
        <v>11</v>
      </c>
      <c r="N236" s="48">
        <f>(C238 * IFERROR(VLOOKUP(D238,LunchTable[],2,FALSE),0)) + (C239 * IFERROR(VLOOKUP(D239,LunchTable[],2,FALSE),0)) + (C240 * IFERROR(VLOOKUP(D240,LunchTable[],2,FALSE),0)) + (C241 * IFERROR(VLOOKUP(D241,LunchTable[],2,FALSE),0))</f>
        <v>9.3000000000000007</v>
      </c>
      <c r="O236" s="48">
        <f>(C238 * IFERROR(VLOOKUP(D238,LunchTable[],3,FALSE),0)) + (C239 * IFERROR(VLOOKUP(D239,LunchTable[],3,FALSE),0)) + (C240 * IFERROR(VLOOKUP(D240,LunchTable[],3,FALSE),0)) + (C241 * IFERROR(VLOOKUP(D241,LunchTable[],3,FALSE),0))</f>
        <v>4.2</v>
      </c>
      <c r="P236" s="48">
        <f>(C238 * IFERROR(VLOOKUP(D238,LunchTable[],4,FALSE),0)) + (C239 * IFERROR(VLOOKUP(D239,LunchTable[],4,FALSE),0)) + (C240 * IFERROR(VLOOKUP(D240,LunchTable[],4,FALSE),0)) + (C241 * IFERROR(VLOOKUP(D241,LunchTable[],4,FALSE),0))</f>
        <v>53.3</v>
      </c>
    </row>
    <row r="237" spans="1:16" ht="18" thickBot="1" x14ac:dyDescent="0.35">
      <c r="A237" s="10" t="s">
        <v>34</v>
      </c>
      <c r="B237" s="11" t="s">
        <v>6</v>
      </c>
      <c r="C237" s="10" t="s">
        <v>34</v>
      </c>
      <c r="D237" s="11" t="s">
        <v>11</v>
      </c>
      <c r="E237" s="10" t="s">
        <v>34</v>
      </c>
      <c r="F237" s="11" t="s">
        <v>12</v>
      </c>
      <c r="G237" s="10" t="s">
        <v>34</v>
      </c>
      <c r="H237" s="12" t="s">
        <v>35</v>
      </c>
      <c r="I237" s="5" t="s">
        <v>41</v>
      </c>
      <c r="J237" s="5" t="s">
        <v>42</v>
      </c>
      <c r="K237" s="5" t="s">
        <v>43</v>
      </c>
      <c r="L237" s="45"/>
      <c r="M237" s="48" t="s">
        <v>12</v>
      </c>
      <c r="N237" s="48">
        <f>(E238 * IFERROR(VLOOKUP(F238,DinnerTable[],2,FALSE),0)) + (E239 * IFERROR(VLOOKUP(F239,DinnerTable[],2,FALSE),0)) + (E240 * IFERROR(VLOOKUP(F240,DinnerTable[],2,FALSE),0)) + (E241 * IFERROR(VLOOKUP(F241,DinnerTable[],2,FALSE),0))</f>
        <v>0</v>
      </c>
      <c r="O237" s="48">
        <f>(E238 * IFERROR(VLOOKUP(F238,DinnerTable[],3,FALSE),0)) + (E239 * IFERROR(VLOOKUP(F239,DinnerTable[],3,FALSE),0)) + (E240 * IFERROR(VLOOKUP(F240,DinnerTable[],3,FALSE),0)) + (E241 * IFERROR(VLOOKUP(F241,DinnerTable[],3,FALSE),0))</f>
        <v>0</v>
      </c>
      <c r="P237" s="48">
        <f>(E238 * IFERROR(VLOOKUP(F238,DinnerTable[],4,FALSE),0)) + (E239 * IFERROR(VLOOKUP(F239,DinnerTable[],4,FALSE),0)) + (E240 * IFERROR(VLOOKUP(F240,DinnerTable[],4,FALSE),0)) + (E241 * IFERROR(VLOOKUP(F241,DinnerTable[],4,FALSE),0))</f>
        <v>0</v>
      </c>
    </row>
    <row r="238" spans="1:16" ht="15.75" thickTop="1" x14ac:dyDescent="0.25">
      <c r="A238" s="17">
        <v>4</v>
      </c>
      <c r="B238" s="17" t="s">
        <v>29</v>
      </c>
      <c r="C238" s="17">
        <v>2</v>
      </c>
      <c r="D238" s="17" t="s">
        <v>22</v>
      </c>
      <c r="E238" s="17"/>
      <c r="F238" s="17"/>
      <c r="G238" s="17">
        <v>1</v>
      </c>
      <c r="H238" s="17" t="s">
        <v>96</v>
      </c>
      <c r="I238" s="2">
        <v>56</v>
      </c>
      <c r="J238" s="2">
        <v>60</v>
      </c>
      <c r="K238" s="2">
        <v>140</v>
      </c>
      <c r="L238" s="45"/>
      <c r="M238" s="48" t="s">
        <v>35</v>
      </c>
      <c r="N238" s="48">
        <f>(G238 * IFERROR(VLOOKUP(H238,PostWorkoutTable[],2,FALSE),0)) + (G239 * IFERROR(VLOOKUP(H239,PostWorkoutTable[],2,FALSE),0)) + (G240 * IFERROR(VLOOKUP(H240,PostWorkoutTable[],2,FALSE),0)) + (G241 * IFERROR(VLOOKUP(H241,PostWorkoutTable[],2,FALSE),0))</f>
        <v>32.200000000000003</v>
      </c>
      <c r="O238" s="48">
        <f>(G238 * IFERROR(VLOOKUP(H238,PostWorkoutTable[],3,FALSE),0)) + (G239 * IFERROR(VLOOKUP(H239,PostWorkoutTable[],3,FALSE),0)) + (G240 * IFERROR(VLOOKUP(H240,PostWorkoutTable[],3,FALSE),0)) + (G241 * IFERROR(VLOOKUP(H241,PostWorkoutTable[],3,FALSE),0))</f>
        <v>14.9</v>
      </c>
      <c r="P238" s="48">
        <f>(G238 * IFERROR(VLOOKUP(H238,PostWorkoutTable[],4,FALSE),0)) + (G239 * IFERROR(VLOOKUP(H239,PostWorkoutTable[],4,FALSE),0)) + (G240 * IFERROR(VLOOKUP(H240,PostWorkoutTable[],4,FALSE),0)) + (G241 * IFERROR(VLOOKUP(H241,PostWorkoutTable[],4,FALSE),0))</f>
        <v>50.4</v>
      </c>
    </row>
    <row r="239" spans="1:16" x14ac:dyDescent="0.25">
      <c r="A239" s="17"/>
      <c r="B239" s="17"/>
      <c r="C239" s="17">
        <v>1</v>
      </c>
      <c r="D239" s="17" t="s">
        <v>33</v>
      </c>
      <c r="E239" s="17"/>
      <c r="F239" s="17"/>
      <c r="G239" s="17"/>
      <c r="H239" s="17"/>
      <c r="I239" s="2"/>
      <c r="J239" s="2"/>
      <c r="K239" s="2"/>
      <c r="L239" s="45"/>
      <c r="M239" s="48" t="s">
        <v>21</v>
      </c>
      <c r="N239" s="48">
        <f xml:space="preserve"> SUM(I238:I241)</f>
        <v>56</v>
      </c>
      <c r="O239" s="48">
        <f>SUM(J238:J241)</f>
        <v>60</v>
      </c>
      <c r="P239" s="48">
        <f>SUM(K238:K241)</f>
        <v>140</v>
      </c>
    </row>
    <row r="240" spans="1:16" x14ac:dyDescent="0.25">
      <c r="A240" s="17"/>
      <c r="B240" s="17"/>
      <c r="C240" s="17"/>
      <c r="D240" s="17"/>
      <c r="E240" s="17"/>
      <c r="F240" s="17"/>
      <c r="G240" s="17"/>
      <c r="H240" s="17"/>
      <c r="I240" s="2"/>
      <c r="J240" s="2"/>
      <c r="K240" s="2"/>
      <c r="L240" s="45"/>
      <c r="M240" s="48" t="s">
        <v>38</v>
      </c>
      <c r="N240" s="48">
        <f>SUM(N235:N239)</f>
        <v>125.5</v>
      </c>
      <c r="O240" s="48">
        <f>SUM(O235:O239)</f>
        <v>97.1</v>
      </c>
      <c r="P240" s="48">
        <f>SUM(P235:P239)</f>
        <v>243.7</v>
      </c>
    </row>
    <row r="241" spans="1:16" x14ac:dyDescent="0.25">
      <c r="A241" s="17"/>
      <c r="B241" s="17"/>
      <c r="C241" s="17"/>
      <c r="D241" s="17"/>
      <c r="E241" s="17"/>
      <c r="F241" s="17"/>
      <c r="G241" s="17"/>
      <c r="H241" s="17"/>
      <c r="I241" s="2"/>
      <c r="J241" s="2"/>
      <c r="K241" s="2"/>
      <c r="L241" s="45"/>
      <c r="M241" s="45"/>
      <c r="N241" s="45"/>
      <c r="O241" s="45"/>
      <c r="P241" s="45"/>
    </row>
    <row r="242" spans="1:16" x14ac:dyDescent="0.25">
      <c r="A242" s="45"/>
      <c r="B242" s="45"/>
      <c r="C242" s="45"/>
      <c r="D242" s="45"/>
      <c r="E242" s="45"/>
      <c r="F242" s="45"/>
      <c r="G242" s="45"/>
      <c r="H242" s="45"/>
      <c r="I242" s="45"/>
      <c r="J242" s="45"/>
      <c r="K242" s="45"/>
      <c r="L242" s="45"/>
      <c r="M242" s="45"/>
      <c r="N242" s="45"/>
      <c r="O242" s="45"/>
      <c r="P242" s="45"/>
    </row>
    <row r="243" spans="1:16" ht="23.25" x14ac:dyDescent="0.35">
      <c r="A243" s="49">
        <v>43549</v>
      </c>
      <c r="B243" s="45"/>
      <c r="C243" s="45"/>
      <c r="D243" s="45"/>
      <c r="E243" s="45"/>
      <c r="F243" s="45"/>
      <c r="G243" s="45"/>
      <c r="H243" s="45"/>
      <c r="I243" s="45"/>
      <c r="J243" s="45"/>
      <c r="K243" s="45"/>
      <c r="L243" s="45"/>
      <c r="M243" s="45"/>
      <c r="N243" s="45"/>
      <c r="O243" s="45"/>
      <c r="P243" s="45"/>
    </row>
    <row r="244" spans="1:16" ht="18" thickBot="1" x14ac:dyDescent="0.35">
      <c r="A244" s="3" t="s">
        <v>48</v>
      </c>
      <c r="B244" s="3" t="s">
        <v>0</v>
      </c>
      <c r="C244" s="3" t="s">
        <v>36</v>
      </c>
      <c r="D244" s="3" t="s">
        <v>8</v>
      </c>
      <c r="E244" s="5" t="s">
        <v>9</v>
      </c>
      <c r="F244" s="5" t="s">
        <v>10</v>
      </c>
      <c r="G244" s="46"/>
      <c r="H244" s="47"/>
      <c r="I244" s="45"/>
      <c r="J244" s="45"/>
      <c r="K244" s="45"/>
      <c r="L244" s="45"/>
      <c r="M244" s="46"/>
      <c r="N244" s="48" t="s">
        <v>8</v>
      </c>
      <c r="O244" s="48" t="s">
        <v>9</v>
      </c>
      <c r="P244" s="48" t="s">
        <v>10</v>
      </c>
    </row>
    <row r="245" spans="1:16" ht="15.75" thickTop="1" x14ac:dyDescent="0.25">
      <c r="A245" s="18">
        <v>43549</v>
      </c>
      <c r="B245" s="16">
        <f>IFERROR(VLOOKUP(A245,OverviewTable[],2,FALSE),"?")</f>
        <v>130</v>
      </c>
      <c r="C245" s="16" t="str">
        <f>((N250 * 4) + (O250 * 9) + (P250 * 4))&amp;"/"&amp;IFERROR(VLOOKUP(A245,OverviewTable[],11,FALSE),"?")</f>
        <v>2423.375/2330</v>
      </c>
      <c r="D245" s="16" t="str">
        <f>N250&amp;"/"&amp;IFERROR(VLOOKUP(A245,OverviewTable[],12,FALSE),"?")</f>
        <v>117.5/130</v>
      </c>
      <c r="E245" s="16" t="str">
        <f>O250&amp;"/"&amp;IFERROR(VLOOKUP(A245,OverviewTable[],13,FALSE),"?")</f>
        <v>103.375/65</v>
      </c>
      <c r="F245" s="16" t="str">
        <f>P250&amp;"/"&amp;IFERROR(VLOOKUP(A245,OverviewTable[],14,FALSE),"?")</f>
        <v>255.75/306</v>
      </c>
      <c r="G245" s="47"/>
      <c r="H245" s="47"/>
      <c r="I245" s="45"/>
      <c r="J245" s="45"/>
      <c r="K245" s="45"/>
      <c r="L245" s="45"/>
      <c r="M245" s="48" t="s">
        <v>6</v>
      </c>
      <c r="N245" s="48">
        <f>(A248 * IFERROR(VLOOKUP(B248,BreakfastTable[],2,FALSE),0)) + (A249 * IFERROR(VLOOKUP(B249,BreakfastTable[],2,FALSE),0)) + (A250 * IFERROR(VLOOKUP(B250,BreakfastTable[],2,FALSE),0)) + (A251 * IFERROR(VLOOKUP(B251,BreakfastTable[],2,FALSE),0))</f>
        <v>20</v>
      </c>
      <c r="O245" s="48">
        <f>(A248 * IFERROR(VLOOKUP(B248,BreakfastTable[],3,FALSE),0)) + (A249 * IFERROR(VLOOKUP(B249,BreakfastTable[],3,FALSE),0)) + (A250 * IFERROR(VLOOKUP(B250,BreakfastTable[],3,FALSE),0)) + (A251 * IFERROR(VLOOKUP(B251,BreakfastTable[],3,FALSE),0))</f>
        <v>10</v>
      </c>
      <c r="P245" s="48">
        <f>(A248 * IFERROR(VLOOKUP(B248,BreakfastTable[],4,FALSE),0)) + (A249 * IFERROR(VLOOKUP(B249,BreakfastTable[],4,FALSE),0)) + (A250 * IFERROR(VLOOKUP(B250,BreakfastTable[],4,FALSE),0)) + (A251 * IFERROR(VLOOKUP(B251,BreakfastTable[],4,FALSE),0))</f>
        <v>21</v>
      </c>
    </row>
    <row r="246" spans="1:16" x14ac:dyDescent="0.25">
      <c r="A246" s="17"/>
      <c r="B246" s="17"/>
      <c r="C246" s="17"/>
      <c r="D246" s="17"/>
      <c r="E246" s="17"/>
      <c r="F246" s="17"/>
      <c r="G246" s="47"/>
      <c r="H246" s="47"/>
      <c r="I246" s="45"/>
      <c r="J246" s="45"/>
      <c r="K246" s="45"/>
      <c r="L246" s="45"/>
      <c r="M246" s="48" t="s">
        <v>11</v>
      </c>
      <c r="N246" s="48">
        <f>(C248 * IFERROR(VLOOKUP(D248,LunchTable[],2,FALSE),0)) + (C249 * IFERROR(VLOOKUP(D249,LunchTable[],2,FALSE),0)) + (C250 * IFERROR(VLOOKUP(D250,LunchTable[],2,FALSE),0)) + (C251 * IFERROR(VLOOKUP(D251,LunchTable[],2,FALSE),0))</f>
        <v>0</v>
      </c>
      <c r="O246" s="48">
        <f>(C248 * IFERROR(VLOOKUP(D248,LunchTable[],3,FALSE),0)) + (C249 * IFERROR(VLOOKUP(D249,LunchTable[],3,FALSE),0)) + (C250 * IFERROR(VLOOKUP(D250,LunchTable[],3,FALSE),0)) + (C251 * IFERROR(VLOOKUP(D251,LunchTable[],3,FALSE),0))</f>
        <v>0</v>
      </c>
      <c r="P246" s="48">
        <f>(C248 * IFERROR(VLOOKUP(D248,LunchTable[],4,FALSE),0)) + (C249 * IFERROR(VLOOKUP(D249,LunchTable[],4,FALSE),0)) + (C250 * IFERROR(VLOOKUP(D250,LunchTable[],4,FALSE),0)) + (C251 * IFERROR(VLOOKUP(D251,LunchTable[],4,FALSE),0))</f>
        <v>0</v>
      </c>
    </row>
    <row r="247" spans="1:16" ht="18" thickBot="1" x14ac:dyDescent="0.35">
      <c r="A247" s="10" t="s">
        <v>34</v>
      </c>
      <c r="B247" s="11" t="s">
        <v>6</v>
      </c>
      <c r="C247" s="10" t="s">
        <v>34</v>
      </c>
      <c r="D247" s="11" t="s">
        <v>11</v>
      </c>
      <c r="E247" s="10" t="s">
        <v>34</v>
      </c>
      <c r="F247" s="11" t="s">
        <v>12</v>
      </c>
      <c r="G247" s="10" t="s">
        <v>34</v>
      </c>
      <c r="H247" s="12" t="s">
        <v>35</v>
      </c>
      <c r="I247" s="5" t="s">
        <v>41</v>
      </c>
      <c r="J247" s="5" t="s">
        <v>42</v>
      </c>
      <c r="K247" s="5" t="s">
        <v>43</v>
      </c>
      <c r="L247" s="45"/>
      <c r="M247" s="48" t="s">
        <v>12</v>
      </c>
      <c r="N247" s="48">
        <f>(E248 * IFERROR(VLOOKUP(F248,DinnerTable[],2,FALSE),0)) + (E249 * IFERROR(VLOOKUP(F249,DinnerTable[],2,FALSE),0)) + (E250 * IFERROR(VLOOKUP(F250,DinnerTable[],2,FALSE),0)) + (E251 * IFERROR(VLOOKUP(F251,DinnerTable[],2,FALSE),0))</f>
        <v>69.5</v>
      </c>
      <c r="O247" s="48">
        <f>(E248 * IFERROR(VLOOKUP(F248,DinnerTable[],3,FALSE),0)) + (E249 * IFERROR(VLOOKUP(F249,DinnerTable[],3,FALSE),0)) + (E250 * IFERROR(VLOOKUP(F250,DinnerTable[],3,FALSE),0)) + (E251 * IFERROR(VLOOKUP(F251,DinnerTable[],3,FALSE),0))</f>
        <v>63.375</v>
      </c>
      <c r="P247" s="48">
        <f>(E248 * IFERROR(VLOOKUP(F248,DinnerTable[],4,FALSE),0)) + (E249 * IFERROR(VLOOKUP(F249,DinnerTable[],4,FALSE),0)) + (E250 * IFERROR(VLOOKUP(F250,DinnerTable[],4,FALSE),0)) + (E251 * IFERROR(VLOOKUP(F251,DinnerTable[],4,FALSE),0))</f>
        <v>164.75</v>
      </c>
    </row>
    <row r="248" spans="1:16" ht="15.75" thickTop="1" x14ac:dyDescent="0.25">
      <c r="A248" s="17">
        <v>1</v>
      </c>
      <c r="B248" s="17" t="s">
        <v>105</v>
      </c>
      <c r="C248" s="17"/>
      <c r="D248" s="17"/>
      <c r="E248" s="17">
        <v>0.25</v>
      </c>
      <c r="F248" s="17" t="s">
        <v>44</v>
      </c>
      <c r="G248" s="17"/>
      <c r="H248" s="17"/>
      <c r="I248" s="2">
        <v>28</v>
      </c>
      <c r="J248" s="2">
        <v>30</v>
      </c>
      <c r="K248" s="2">
        <v>70</v>
      </c>
      <c r="L248" s="45"/>
      <c r="M248" s="48" t="s">
        <v>35</v>
      </c>
      <c r="N248" s="48">
        <f>(G248 * IFERROR(VLOOKUP(H248,PostWorkoutTable[],2,FALSE),0)) + (G249 * IFERROR(VLOOKUP(H249,PostWorkoutTable[],2,FALSE),0)) + (G250 * IFERROR(VLOOKUP(H250,PostWorkoutTable[],2,FALSE),0)) + (G251 * IFERROR(VLOOKUP(H251,PostWorkoutTable[],2,FALSE),0))</f>
        <v>0</v>
      </c>
      <c r="O248" s="48">
        <f>(G248 * IFERROR(VLOOKUP(H248,PostWorkoutTable[],3,FALSE),0)) + (G249 * IFERROR(VLOOKUP(H249,PostWorkoutTable[],3,FALSE),0)) + (G250 * IFERROR(VLOOKUP(H250,PostWorkoutTable[],3,FALSE),0)) + (G251 * IFERROR(VLOOKUP(H251,PostWorkoutTable[],3,FALSE),0))</f>
        <v>0</v>
      </c>
      <c r="P248" s="48">
        <f>(G248 * IFERROR(VLOOKUP(H248,PostWorkoutTable[],4,FALSE),0)) + (G249 * IFERROR(VLOOKUP(H249,PostWorkoutTable[],4,FALSE),0)) + (G250 * IFERROR(VLOOKUP(H250,PostWorkoutTable[],4,FALSE),0)) + (G251 * IFERROR(VLOOKUP(H251,PostWorkoutTable[],4,FALSE),0))</f>
        <v>0</v>
      </c>
    </row>
    <row r="249" spans="1:16" x14ac:dyDescent="0.25">
      <c r="A249" s="17"/>
      <c r="B249" s="17"/>
      <c r="C249" s="17"/>
      <c r="D249" s="17"/>
      <c r="E249" s="17">
        <v>0.5</v>
      </c>
      <c r="F249" s="17" t="s">
        <v>45</v>
      </c>
      <c r="G249" s="17"/>
      <c r="H249" s="17"/>
      <c r="I249" s="2"/>
      <c r="J249" s="2"/>
      <c r="K249" s="2"/>
      <c r="L249" s="45"/>
      <c r="M249" s="48" t="s">
        <v>21</v>
      </c>
      <c r="N249" s="48">
        <f xml:space="preserve"> SUM(I248:I251)</f>
        <v>28</v>
      </c>
      <c r="O249" s="48">
        <f>SUM(J248:J251)</f>
        <v>30</v>
      </c>
      <c r="P249" s="48">
        <f>SUM(K248:K251)</f>
        <v>70</v>
      </c>
    </row>
    <row r="250" spans="1:16" x14ac:dyDescent="0.25">
      <c r="A250" s="17"/>
      <c r="B250" s="17"/>
      <c r="C250" s="17"/>
      <c r="D250" s="17"/>
      <c r="E250" s="17">
        <v>0.75</v>
      </c>
      <c r="F250" s="17" t="s">
        <v>56</v>
      </c>
      <c r="G250" s="17"/>
      <c r="H250" s="17"/>
      <c r="I250" s="2"/>
      <c r="J250" s="2"/>
      <c r="K250" s="2"/>
      <c r="L250" s="45"/>
      <c r="M250" s="48" t="s">
        <v>38</v>
      </c>
      <c r="N250" s="48">
        <f>SUM(N245:N249)</f>
        <v>117.5</v>
      </c>
      <c r="O250" s="48">
        <f>SUM(O245:O249)</f>
        <v>103.375</v>
      </c>
      <c r="P250" s="48">
        <f>SUM(P245:P249)</f>
        <v>255.75</v>
      </c>
    </row>
    <row r="251" spans="1:16" x14ac:dyDescent="0.25">
      <c r="A251" s="17"/>
      <c r="B251" s="17"/>
      <c r="C251" s="17"/>
      <c r="D251" s="17"/>
      <c r="E251" s="17">
        <v>2</v>
      </c>
      <c r="F251" s="17" t="s">
        <v>68</v>
      </c>
      <c r="G251" s="17"/>
      <c r="H251" s="17"/>
      <c r="I251" s="2"/>
      <c r="J251" s="2"/>
      <c r="K251" s="2"/>
      <c r="L251" s="45"/>
      <c r="M251" s="45"/>
      <c r="N251" s="45"/>
      <c r="O251" s="45"/>
      <c r="P251" s="45"/>
    </row>
    <row r="252" spans="1:16" x14ac:dyDescent="0.25">
      <c r="A252" s="45"/>
      <c r="B252" s="45"/>
      <c r="C252" s="45"/>
      <c r="D252" s="45"/>
      <c r="E252" s="45"/>
      <c r="F252" s="45"/>
      <c r="G252" s="45"/>
      <c r="H252" s="45"/>
      <c r="I252" s="45"/>
      <c r="J252" s="45"/>
      <c r="K252" s="45"/>
      <c r="L252" s="45"/>
      <c r="M252" s="45"/>
      <c r="N252" s="45"/>
      <c r="O252" s="45"/>
      <c r="P252" s="45"/>
    </row>
    <row r="253" spans="1:16" ht="23.25" x14ac:dyDescent="0.35">
      <c r="A253" s="49">
        <v>43550</v>
      </c>
      <c r="B253" s="45"/>
      <c r="C253" s="45"/>
      <c r="D253" s="45"/>
      <c r="E253" s="45"/>
      <c r="F253" s="45"/>
      <c r="G253" s="45"/>
      <c r="H253" s="45"/>
      <c r="I253" s="45"/>
      <c r="J253" s="45"/>
      <c r="K253" s="45"/>
      <c r="L253" s="45"/>
      <c r="M253" s="45"/>
      <c r="N253" s="45"/>
      <c r="O253" s="45"/>
      <c r="P253" s="45"/>
    </row>
    <row r="254" spans="1:16" ht="18" thickBot="1" x14ac:dyDescent="0.35">
      <c r="A254" s="3" t="s">
        <v>48</v>
      </c>
      <c r="B254" s="3" t="s">
        <v>0</v>
      </c>
      <c r="C254" s="3" t="s">
        <v>36</v>
      </c>
      <c r="D254" s="3" t="s">
        <v>8</v>
      </c>
      <c r="E254" s="5" t="s">
        <v>9</v>
      </c>
      <c r="F254" s="5" t="s">
        <v>10</v>
      </c>
      <c r="G254" s="46"/>
      <c r="H254" s="47"/>
      <c r="I254" s="45"/>
      <c r="J254" s="45"/>
      <c r="K254" s="45"/>
      <c r="L254" s="45"/>
      <c r="M254" s="46"/>
      <c r="N254" s="48" t="s">
        <v>8</v>
      </c>
      <c r="O254" s="48" t="s">
        <v>9</v>
      </c>
      <c r="P254" s="48" t="s">
        <v>10</v>
      </c>
    </row>
    <row r="255" spans="1:16" ht="15.75" thickTop="1" x14ac:dyDescent="0.25">
      <c r="A255" s="18">
        <v>43549</v>
      </c>
      <c r="B255" s="16">
        <f>IFERROR(VLOOKUP(A255,OverviewTable[],2,FALSE),"?")</f>
        <v>130</v>
      </c>
      <c r="C255" s="16" t="str">
        <f>((N260 * 4) + (O260 * 9) + (P260 * 4))&amp;"/"&amp;IFERROR(VLOOKUP(A255,OverviewTable[],11,FALSE),"?")</f>
        <v>2753.375/2330</v>
      </c>
      <c r="D255" s="16" t="str">
        <f>N260&amp;"/"&amp;IFERROR(VLOOKUP(A255,OverviewTable[],12,FALSE),"?")</f>
        <v>151.5/130</v>
      </c>
      <c r="E255" s="16" t="str">
        <f>O260&amp;"/"&amp;IFERROR(VLOOKUP(A255,OverviewTable[],13,FALSE),"?")</f>
        <v>89.375/65</v>
      </c>
      <c r="F255" s="16" t="str">
        <f>P260&amp;"/"&amp;IFERROR(VLOOKUP(A255,OverviewTable[],14,FALSE),"?")</f>
        <v>335.75/306</v>
      </c>
      <c r="G255" s="47"/>
      <c r="H255" s="47"/>
      <c r="I255" s="45"/>
      <c r="J255" s="45"/>
      <c r="K255" s="45"/>
      <c r="L255" s="45"/>
      <c r="M255" s="48" t="s">
        <v>6</v>
      </c>
      <c r="N255" s="48">
        <f>(A258 * IFERROR(VLOOKUP(B258,BreakfastTable[],2,FALSE),0)) + (A259 * IFERROR(VLOOKUP(B259,BreakfastTable[],2,FALSE),0)) + (A260 * IFERROR(VLOOKUP(B260,BreakfastTable[],2,FALSE),0)) + (A261 * IFERROR(VLOOKUP(B261,BreakfastTable[],2,FALSE),0))</f>
        <v>20</v>
      </c>
      <c r="O255" s="48">
        <f>(A258 * IFERROR(VLOOKUP(B258,BreakfastTable[],3,FALSE),0)) + (A259 * IFERROR(VLOOKUP(B259,BreakfastTable[],3,FALSE),0)) + (A260 * IFERROR(VLOOKUP(B260,BreakfastTable[],3,FALSE),0)) + (A261 * IFERROR(VLOOKUP(B261,BreakfastTable[],3,FALSE),0))</f>
        <v>10</v>
      </c>
      <c r="P255" s="48">
        <f>(A258 * IFERROR(VLOOKUP(B258,BreakfastTable[],4,FALSE),0)) + (A259 * IFERROR(VLOOKUP(B259,BreakfastTable[],4,FALSE),0)) + (A260 * IFERROR(VLOOKUP(B260,BreakfastTable[],4,FALSE),0)) + (A261 * IFERROR(VLOOKUP(B261,BreakfastTable[],4,FALSE),0))</f>
        <v>21</v>
      </c>
    </row>
    <row r="256" spans="1:16" x14ac:dyDescent="0.25">
      <c r="A256" s="17"/>
      <c r="B256" s="17"/>
      <c r="C256" s="17"/>
      <c r="D256" s="17"/>
      <c r="E256" s="17"/>
      <c r="F256" s="17"/>
      <c r="G256" s="47"/>
      <c r="H256" s="47"/>
      <c r="I256" s="45"/>
      <c r="J256" s="45"/>
      <c r="K256" s="45"/>
      <c r="L256" s="45"/>
      <c r="M256" s="48" t="s">
        <v>11</v>
      </c>
      <c r="N256" s="48">
        <f>(C258 * IFERROR(VLOOKUP(D258,LunchTable[],2,FALSE),0)) + (C259 * IFERROR(VLOOKUP(D259,LunchTable[],2,FALSE),0)) + (C260 * IFERROR(VLOOKUP(D260,LunchTable[],2,FALSE),0)) + (C261 * IFERROR(VLOOKUP(D261,LunchTable[],2,FALSE),0))</f>
        <v>51</v>
      </c>
      <c r="O256" s="48">
        <f>(C258 * IFERROR(VLOOKUP(D258,LunchTable[],3,FALSE),0)) + (C259 * IFERROR(VLOOKUP(D259,LunchTable[],3,FALSE),0)) + (C260 * IFERROR(VLOOKUP(D260,LunchTable[],3,FALSE),0)) + (C261 * IFERROR(VLOOKUP(D261,LunchTable[],3,FALSE),0))</f>
        <v>15</v>
      </c>
      <c r="P256" s="48">
        <f>(C258 * IFERROR(VLOOKUP(D258,LunchTable[],4,FALSE),0)) + (C259 * IFERROR(VLOOKUP(D259,LunchTable[],4,FALSE),0)) + (C260 * IFERROR(VLOOKUP(D260,LunchTable[],4,FALSE),0)) + (C261 * IFERROR(VLOOKUP(D261,LunchTable[],4,FALSE),0))</f>
        <v>63</v>
      </c>
    </row>
    <row r="257" spans="1:16" ht="18" thickBot="1" x14ac:dyDescent="0.35">
      <c r="A257" s="10" t="s">
        <v>34</v>
      </c>
      <c r="B257" s="11" t="s">
        <v>6</v>
      </c>
      <c r="C257" s="10" t="s">
        <v>34</v>
      </c>
      <c r="D257" s="11" t="s">
        <v>11</v>
      </c>
      <c r="E257" s="10" t="s">
        <v>34</v>
      </c>
      <c r="F257" s="11" t="s">
        <v>12</v>
      </c>
      <c r="G257" s="10" t="s">
        <v>34</v>
      </c>
      <c r="H257" s="12" t="s">
        <v>35</v>
      </c>
      <c r="I257" s="5" t="s">
        <v>41</v>
      </c>
      <c r="J257" s="5" t="s">
        <v>42</v>
      </c>
      <c r="K257" s="5" t="s">
        <v>43</v>
      </c>
      <c r="L257" s="45"/>
      <c r="M257" s="48" t="s">
        <v>12</v>
      </c>
      <c r="N257" s="48">
        <f>(E258 * IFERROR(VLOOKUP(F258,DinnerTable[],2,FALSE),0)) + (E259 * IFERROR(VLOOKUP(F259,DinnerTable[],2,FALSE),0)) + (E260 * IFERROR(VLOOKUP(F260,DinnerTable[],2,FALSE),0)) + (E261 * IFERROR(VLOOKUP(F261,DinnerTable[],2,FALSE),0))</f>
        <v>63.5</v>
      </c>
      <c r="O257" s="48">
        <f>(E258 * IFERROR(VLOOKUP(F258,DinnerTable[],3,FALSE),0)) + (E259 * IFERROR(VLOOKUP(F259,DinnerTable[],3,FALSE),0)) + (E260 * IFERROR(VLOOKUP(F260,DinnerTable[],3,FALSE),0)) + (E261 * IFERROR(VLOOKUP(F261,DinnerTable[],3,FALSE),0))</f>
        <v>45.375</v>
      </c>
      <c r="P257" s="48">
        <f>(E258 * IFERROR(VLOOKUP(F258,DinnerTable[],4,FALSE),0)) + (E259 * IFERROR(VLOOKUP(F259,DinnerTable[],4,FALSE),0)) + (E260 * IFERROR(VLOOKUP(F260,DinnerTable[],4,FALSE),0)) + (E261 * IFERROR(VLOOKUP(F261,DinnerTable[],4,FALSE),0))</f>
        <v>132.75</v>
      </c>
    </row>
    <row r="258" spans="1:16" ht="15.75" thickTop="1" x14ac:dyDescent="0.25">
      <c r="A258" s="17">
        <v>1</v>
      </c>
      <c r="B258" s="17" t="s">
        <v>105</v>
      </c>
      <c r="C258" s="17">
        <v>1</v>
      </c>
      <c r="D258" s="17" t="s">
        <v>23</v>
      </c>
      <c r="E258" s="17">
        <v>0.25</v>
      </c>
      <c r="F258" s="17" t="s">
        <v>44</v>
      </c>
      <c r="G258" s="17"/>
      <c r="H258" s="17"/>
      <c r="I258" s="2">
        <v>17</v>
      </c>
      <c r="J258" s="2">
        <v>19</v>
      </c>
      <c r="K258" s="2">
        <v>119</v>
      </c>
      <c r="L258" s="45"/>
      <c r="M258" s="48" t="s">
        <v>35</v>
      </c>
      <c r="N258" s="48">
        <f>(G258 * IFERROR(VLOOKUP(H258,PostWorkoutTable[],2,FALSE),0)) + (G259 * IFERROR(VLOOKUP(H259,PostWorkoutTable[],2,FALSE),0)) + (G260 * IFERROR(VLOOKUP(H260,PostWorkoutTable[],2,FALSE),0)) + (G261 * IFERROR(VLOOKUP(H261,PostWorkoutTable[],2,FALSE),0))</f>
        <v>0</v>
      </c>
      <c r="O258" s="48">
        <f>(G258 * IFERROR(VLOOKUP(H258,PostWorkoutTable[],3,FALSE),0)) + (G259 * IFERROR(VLOOKUP(H259,PostWorkoutTable[],3,FALSE),0)) + (G260 * IFERROR(VLOOKUP(H260,PostWorkoutTable[],3,FALSE),0)) + (G261 * IFERROR(VLOOKUP(H261,PostWorkoutTable[],3,FALSE),0))</f>
        <v>0</v>
      </c>
      <c r="P258" s="48">
        <f>(G258 * IFERROR(VLOOKUP(H258,PostWorkoutTable[],4,FALSE),0)) + (G259 * IFERROR(VLOOKUP(H259,PostWorkoutTable[],4,FALSE),0)) + (G260 * IFERROR(VLOOKUP(H260,PostWorkoutTable[],4,FALSE),0)) + (G261 * IFERROR(VLOOKUP(H261,PostWorkoutTable[],4,FALSE),0))</f>
        <v>0</v>
      </c>
    </row>
    <row r="259" spans="1:16" x14ac:dyDescent="0.25">
      <c r="A259" s="17"/>
      <c r="B259" s="17"/>
      <c r="C259" s="17">
        <v>0.25</v>
      </c>
      <c r="D259" s="17" t="s">
        <v>51</v>
      </c>
      <c r="E259" s="17">
        <v>0.5</v>
      </c>
      <c r="F259" s="17" t="s">
        <v>45</v>
      </c>
      <c r="G259" s="17"/>
      <c r="H259" s="17"/>
      <c r="I259" s="2"/>
      <c r="J259" s="2"/>
      <c r="K259" s="2"/>
      <c r="L259" s="45"/>
      <c r="M259" s="48" t="s">
        <v>21</v>
      </c>
      <c r="N259" s="48">
        <f xml:space="preserve"> SUM(I258:I261)</f>
        <v>17</v>
      </c>
      <c r="O259" s="48">
        <f>SUM(J258:J261)</f>
        <v>19</v>
      </c>
      <c r="P259" s="48">
        <f>SUM(K258:K261)</f>
        <v>119</v>
      </c>
    </row>
    <row r="260" spans="1:16" x14ac:dyDescent="0.25">
      <c r="A260" s="17"/>
      <c r="B260" s="17"/>
      <c r="C260" s="17">
        <v>0.25</v>
      </c>
      <c r="D260" s="17" t="s">
        <v>52</v>
      </c>
      <c r="E260" s="17">
        <v>0.75</v>
      </c>
      <c r="F260" s="17" t="s">
        <v>56</v>
      </c>
      <c r="G260" s="17"/>
      <c r="H260" s="17"/>
      <c r="I260" s="2"/>
      <c r="J260" s="2"/>
      <c r="K260" s="2"/>
      <c r="L260" s="45"/>
      <c r="M260" s="48" t="s">
        <v>38</v>
      </c>
      <c r="N260" s="48">
        <f>SUM(N255:N259)</f>
        <v>151.5</v>
      </c>
      <c r="O260" s="48">
        <f>SUM(O255:O259)</f>
        <v>89.375</v>
      </c>
      <c r="P260" s="48">
        <f>SUM(P255:P259)</f>
        <v>335.75</v>
      </c>
    </row>
    <row r="261" spans="1:16" x14ac:dyDescent="0.25">
      <c r="A261" s="17"/>
      <c r="B261" s="17"/>
      <c r="C261" s="17">
        <v>1</v>
      </c>
      <c r="D261" s="17" t="s">
        <v>90</v>
      </c>
      <c r="E261" s="17"/>
      <c r="F261" s="17"/>
      <c r="G261" s="17"/>
      <c r="H261" s="17"/>
      <c r="I261" s="2"/>
      <c r="J261" s="2"/>
      <c r="K261" s="2"/>
      <c r="L261" s="45"/>
      <c r="M261" s="45"/>
      <c r="N261" s="45"/>
      <c r="O261" s="45"/>
      <c r="P261" s="45"/>
    </row>
    <row r="262" spans="1:16" x14ac:dyDescent="0.25">
      <c r="A262" s="45"/>
      <c r="B262" s="45"/>
      <c r="C262" s="45"/>
      <c r="D262" s="45"/>
      <c r="E262" s="45"/>
      <c r="F262" s="45"/>
      <c r="G262" s="45"/>
      <c r="H262" s="45"/>
      <c r="I262" s="45"/>
      <c r="J262" s="45"/>
      <c r="K262" s="45"/>
      <c r="L262" s="45"/>
      <c r="M262" s="45"/>
      <c r="N262" s="45"/>
      <c r="O262" s="45"/>
      <c r="P262" s="45"/>
    </row>
    <row r="263" spans="1:16" ht="23.25" x14ac:dyDescent="0.35">
      <c r="A263" s="49">
        <v>43551</v>
      </c>
      <c r="B263" s="45"/>
      <c r="C263" s="45"/>
      <c r="D263" s="45"/>
      <c r="E263" s="45"/>
      <c r="F263" s="45"/>
      <c r="G263" s="45"/>
      <c r="H263" s="45"/>
      <c r="I263" s="45"/>
      <c r="J263" s="45"/>
      <c r="K263" s="45"/>
      <c r="L263" s="45"/>
      <c r="M263" s="45"/>
      <c r="N263" s="45"/>
      <c r="O263" s="45"/>
      <c r="P263" s="45"/>
    </row>
    <row r="264" spans="1:16" ht="18" thickBot="1" x14ac:dyDescent="0.35">
      <c r="A264" s="3" t="s">
        <v>48</v>
      </c>
      <c r="B264" s="3" t="s">
        <v>0</v>
      </c>
      <c r="C264" s="3" t="s">
        <v>36</v>
      </c>
      <c r="D264" s="3" t="s">
        <v>8</v>
      </c>
      <c r="E264" s="5" t="s">
        <v>9</v>
      </c>
      <c r="F264" s="5" t="s">
        <v>10</v>
      </c>
      <c r="G264" s="46"/>
      <c r="H264" s="47"/>
      <c r="I264" s="45"/>
      <c r="J264" s="45"/>
      <c r="K264" s="45"/>
      <c r="L264" s="45"/>
      <c r="M264" s="46"/>
      <c r="N264" s="48" t="s">
        <v>8</v>
      </c>
      <c r="O264" s="48" t="s">
        <v>9</v>
      </c>
      <c r="P264" s="48" t="s">
        <v>10</v>
      </c>
    </row>
    <row r="265" spans="1:16" ht="15.75" thickTop="1" x14ac:dyDescent="0.25">
      <c r="A265" s="18">
        <v>43549</v>
      </c>
      <c r="B265" s="16">
        <f>IFERROR(VLOOKUP(A265,OverviewTable[],2,FALSE),"?")</f>
        <v>130</v>
      </c>
      <c r="C265" s="16" t="str">
        <f>((N270 * 4) + (O270 * 9) + (P270 * 4))&amp;"/"&amp;IFERROR(VLOOKUP(A265,OverviewTable[],11,FALSE),"?")</f>
        <v>2718.75/2330</v>
      </c>
      <c r="D265" s="16" t="str">
        <f>N270&amp;"/"&amp;IFERROR(VLOOKUP(A265,OverviewTable[],12,FALSE),"?")</f>
        <v>209.55/130</v>
      </c>
      <c r="E265" s="16" t="str">
        <f>O270&amp;"/"&amp;IFERROR(VLOOKUP(A265,OverviewTable[],13,FALSE),"?")</f>
        <v>106.15/65</v>
      </c>
      <c r="F265" s="16" t="str">
        <f>P270&amp;"/"&amp;IFERROR(VLOOKUP(A265,OverviewTable[],14,FALSE),"?")</f>
        <v>231.3/306</v>
      </c>
      <c r="G265" s="47"/>
      <c r="H265" s="47"/>
      <c r="I265" s="45"/>
      <c r="J265" s="45"/>
      <c r="K265" s="45"/>
      <c r="L265" s="45"/>
      <c r="M265" s="48" t="s">
        <v>6</v>
      </c>
      <c r="N265" s="48">
        <f>(A268 * IFERROR(VLOOKUP(B268,BreakfastTable[],2,FALSE),0)) + (A269 * IFERROR(VLOOKUP(B269,BreakfastTable[],2,FALSE),0)) + (A270 * IFERROR(VLOOKUP(B270,BreakfastTable[],2,FALSE),0)) + (A271 * IFERROR(VLOOKUP(B271,BreakfastTable[],2,FALSE),0))</f>
        <v>32.299999999999997</v>
      </c>
      <c r="O265" s="48">
        <f>(A268 * IFERROR(VLOOKUP(B268,BreakfastTable[],3,FALSE),0)) + (A269 * IFERROR(VLOOKUP(B269,BreakfastTable[],3,FALSE),0)) + (A270 * IFERROR(VLOOKUP(B270,BreakfastTable[],3,FALSE),0)) + (A271 * IFERROR(VLOOKUP(B271,BreakfastTable[],3,FALSE),0))</f>
        <v>14.9</v>
      </c>
      <c r="P265" s="48">
        <f>(A268 * IFERROR(VLOOKUP(B268,BreakfastTable[],4,FALSE),0)) + (A269 * IFERROR(VLOOKUP(B269,BreakfastTable[],4,FALSE),0)) + (A270 * IFERROR(VLOOKUP(B270,BreakfastTable[],4,FALSE),0)) + (A271 * IFERROR(VLOOKUP(B271,BreakfastTable[],4,FALSE),0))</f>
        <v>55.3</v>
      </c>
    </row>
    <row r="266" spans="1:16" x14ac:dyDescent="0.25">
      <c r="A266" s="17"/>
      <c r="B266" s="17"/>
      <c r="C266" s="17"/>
      <c r="D266" s="17"/>
      <c r="E266" s="17"/>
      <c r="F266" s="17"/>
      <c r="G266" s="47"/>
      <c r="H266" s="47"/>
      <c r="I266" s="45"/>
      <c r="J266" s="45"/>
      <c r="K266" s="45"/>
      <c r="L266" s="45"/>
      <c r="M266" s="48" t="s">
        <v>11</v>
      </c>
      <c r="N266" s="48">
        <f>(C268 * IFERROR(VLOOKUP(D268,LunchTable[],2,FALSE),0)) + (C269 * IFERROR(VLOOKUP(D269,LunchTable[],2,FALSE),0)) + (C270 * IFERROR(VLOOKUP(D270,LunchTable[],2,FALSE),0)) + (C271 * IFERROR(VLOOKUP(D271,LunchTable[],2,FALSE),0))</f>
        <v>33</v>
      </c>
      <c r="O266" s="48">
        <f>(C268 * IFERROR(VLOOKUP(D268,LunchTable[],3,FALSE),0)) + (C269 * IFERROR(VLOOKUP(D269,LunchTable[],3,FALSE),0)) + (C270 * IFERROR(VLOOKUP(D270,LunchTable[],3,FALSE),0)) + (C271 * IFERROR(VLOOKUP(D271,LunchTable[],3,FALSE),0))</f>
        <v>37</v>
      </c>
      <c r="P266" s="48">
        <f>(C268 * IFERROR(VLOOKUP(D268,LunchTable[],4,FALSE),0)) + (C269 * IFERROR(VLOOKUP(D269,LunchTable[],4,FALSE),0)) + (C270 * IFERROR(VLOOKUP(D270,LunchTable[],4,FALSE),0)) + (C271 * IFERROR(VLOOKUP(D271,LunchTable[],4,FALSE),0))</f>
        <v>83</v>
      </c>
    </row>
    <row r="267" spans="1:16" ht="18" thickBot="1" x14ac:dyDescent="0.35">
      <c r="A267" s="10" t="s">
        <v>34</v>
      </c>
      <c r="B267" s="11" t="s">
        <v>6</v>
      </c>
      <c r="C267" s="10" t="s">
        <v>34</v>
      </c>
      <c r="D267" s="11" t="s">
        <v>11</v>
      </c>
      <c r="E267" s="10" t="s">
        <v>34</v>
      </c>
      <c r="F267" s="11" t="s">
        <v>12</v>
      </c>
      <c r="G267" s="10" t="s">
        <v>34</v>
      </c>
      <c r="H267" s="12" t="s">
        <v>35</v>
      </c>
      <c r="I267" s="5" t="s">
        <v>41</v>
      </c>
      <c r="J267" s="5" t="s">
        <v>42</v>
      </c>
      <c r="K267" s="5" t="s">
        <v>43</v>
      </c>
      <c r="L267" s="45"/>
      <c r="M267" s="48" t="s">
        <v>12</v>
      </c>
      <c r="N267" s="48">
        <f>(E268 * IFERROR(VLOOKUP(F268,DinnerTable[],2,FALSE),0)) + (E269 * IFERROR(VLOOKUP(F269,DinnerTable[],2,FALSE),0)) + (E270 * IFERROR(VLOOKUP(F270,DinnerTable[],2,FALSE),0)) + (E271 * IFERROR(VLOOKUP(F271,DinnerTable[],2,FALSE),0))</f>
        <v>124.25</v>
      </c>
      <c r="O267" s="48">
        <f>(E268 * IFERROR(VLOOKUP(F268,DinnerTable[],3,FALSE),0)) + (E269 * IFERROR(VLOOKUP(F269,DinnerTable[],3,FALSE),0)) + (E270 * IFERROR(VLOOKUP(F270,DinnerTable[],3,FALSE),0)) + (E271 * IFERROR(VLOOKUP(F271,DinnerTable[],3,FALSE),0))</f>
        <v>44.25</v>
      </c>
      <c r="P267" s="48">
        <f>(E268 * IFERROR(VLOOKUP(F268,DinnerTable[],4,FALSE),0)) + (E269 * IFERROR(VLOOKUP(F269,DinnerTable[],4,FALSE),0)) + (E270 * IFERROR(VLOOKUP(F270,DinnerTable[],4,FALSE),0)) + (E271 * IFERROR(VLOOKUP(F271,DinnerTable[],4,FALSE),0))</f>
        <v>72</v>
      </c>
    </row>
    <row r="268" spans="1:16" ht="15.75" thickTop="1" x14ac:dyDescent="0.25">
      <c r="A268" s="17">
        <v>1</v>
      </c>
      <c r="B268" s="17" t="s">
        <v>98</v>
      </c>
      <c r="C268" s="17">
        <v>1</v>
      </c>
      <c r="D268" s="17" t="s">
        <v>24</v>
      </c>
      <c r="E268" s="17">
        <v>0.5</v>
      </c>
      <c r="F268" s="17" t="s">
        <v>60</v>
      </c>
      <c r="G268" s="17">
        <v>1</v>
      </c>
      <c r="H268" s="17" t="s">
        <v>105</v>
      </c>
      <c r="I268" s="2"/>
      <c r="J268" s="2"/>
      <c r="K268" s="2"/>
      <c r="L268" s="45"/>
      <c r="M268" s="48" t="s">
        <v>35</v>
      </c>
      <c r="N268" s="48">
        <f>(G268 * IFERROR(VLOOKUP(H268,PostWorkoutTable[],2,FALSE),0)) + (G269 * IFERROR(VLOOKUP(H269,PostWorkoutTable[],2,FALSE),0)) + (G270 * IFERROR(VLOOKUP(H270,PostWorkoutTable[],2,FALSE),0)) + (G271 * IFERROR(VLOOKUP(H271,PostWorkoutTable[],2,FALSE),0))</f>
        <v>20</v>
      </c>
      <c r="O268" s="48">
        <f>(G268 * IFERROR(VLOOKUP(H268,PostWorkoutTable[],3,FALSE),0)) + (G269 * IFERROR(VLOOKUP(H269,PostWorkoutTable[],3,FALSE),0)) + (G270 * IFERROR(VLOOKUP(H270,PostWorkoutTable[],3,FALSE),0)) + (G271 * IFERROR(VLOOKUP(H271,PostWorkoutTable[],3,FALSE),0))</f>
        <v>10</v>
      </c>
      <c r="P268" s="48">
        <f>(G268 * IFERROR(VLOOKUP(H268,PostWorkoutTable[],4,FALSE),0)) + (G269 * IFERROR(VLOOKUP(H269,PostWorkoutTable[],4,FALSE),0)) + (G270 * IFERROR(VLOOKUP(H270,PostWorkoutTable[],4,FALSE),0)) + (G271 * IFERROR(VLOOKUP(H271,PostWorkoutTable[],4,FALSE),0))</f>
        <v>21</v>
      </c>
    </row>
    <row r="269" spans="1:16" x14ac:dyDescent="0.25">
      <c r="A269" s="17"/>
      <c r="B269" s="17"/>
      <c r="C269" s="17">
        <v>1</v>
      </c>
      <c r="D269" s="17" t="s">
        <v>55</v>
      </c>
      <c r="E269" s="17">
        <v>4</v>
      </c>
      <c r="F269" s="17" t="s">
        <v>22</v>
      </c>
      <c r="G269" s="17"/>
      <c r="H269" s="17"/>
      <c r="I269" s="2"/>
      <c r="J269" s="2"/>
      <c r="K269" s="2"/>
      <c r="L269" s="45"/>
      <c r="M269" s="48" t="s">
        <v>21</v>
      </c>
      <c r="N269" s="48">
        <f xml:space="preserve"> SUM(I268:I271)</f>
        <v>0</v>
      </c>
      <c r="O269" s="48">
        <f>SUM(J268:J271)</f>
        <v>0</v>
      </c>
      <c r="P269" s="48">
        <f>SUM(K268:K271)</f>
        <v>0</v>
      </c>
    </row>
    <row r="270" spans="1:16" x14ac:dyDescent="0.25">
      <c r="A270" s="17"/>
      <c r="B270" s="17"/>
      <c r="C270" s="17"/>
      <c r="D270" s="17"/>
      <c r="E270" s="17"/>
      <c r="F270" s="17"/>
      <c r="G270" s="17"/>
      <c r="H270" s="17"/>
      <c r="I270" s="2"/>
      <c r="J270" s="2"/>
      <c r="K270" s="2"/>
      <c r="L270" s="45"/>
      <c r="M270" s="48" t="s">
        <v>38</v>
      </c>
      <c r="N270" s="48">
        <f>SUM(N265:N269)</f>
        <v>209.55</v>
      </c>
      <c r="O270" s="48">
        <f>SUM(O265:O269)</f>
        <v>106.15</v>
      </c>
      <c r="P270" s="48">
        <f>SUM(P265:P269)</f>
        <v>231.3</v>
      </c>
    </row>
    <row r="271" spans="1:16" x14ac:dyDescent="0.25">
      <c r="A271" s="17"/>
      <c r="B271" s="17"/>
      <c r="C271" s="17"/>
      <c r="D271" s="17"/>
      <c r="E271" s="17"/>
      <c r="F271" s="17"/>
      <c r="G271" s="17"/>
      <c r="H271" s="17"/>
      <c r="I271" s="2"/>
      <c r="J271" s="2"/>
      <c r="K271" s="2"/>
      <c r="L271" s="45"/>
      <c r="M271" s="45"/>
      <c r="N271" s="45"/>
      <c r="O271" s="45"/>
      <c r="P271" s="45"/>
    </row>
    <row r="272" spans="1:16" x14ac:dyDescent="0.25">
      <c r="A272" s="45"/>
      <c r="B272" s="45"/>
      <c r="C272" s="45"/>
      <c r="D272" s="45"/>
      <c r="E272" s="45"/>
      <c r="F272" s="45"/>
      <c r="G272" s="45"/>
      <c r="H272" s="45"/>
      <c r="I272" s="45"/>
      <c r="J272" s="45"/>
      <c r="K272" s="45"/>
      <c r="L272" s="45"/>
      <c r="M272" s="45"/>
      <c r="N272" s="45"/>
      <c r="O272" s="45"/>
      <c r="P272" s="45"/>
    </row>
    <row r="273" spans="1:16" ht="23.25" x14ac:dyDescent="0.35">
      <c r="A273" s="49">
        <v>43552</v>
      </c>
      <c r="B273" s="45"/>
      <c r="C273" s="45"/>
      <c r="D273" s="45"/>
      <c r="E273" s="45"/>
      <c r="F273" s="45"/>
      <c r="G273" s="45"/>
      <c r="H273" s="45"/>
      <c r="I273" s="45"/>
      <c r="J273" s="45"/>
      <c r="K273" s="45"/>
      <c r="L273" s="45"/>
      <c r="M273" s="45"/>
      <c r="N273" s="45"/>
      <c r="O273" s="45"/>
      <c r="P273" s="45"/>
    </row>
    <row r="274" spans="1:16" ht="18" thickBot="1" x14ac:dyDescent="0.35">
      <c r="A274" s="3" t="s">
        <v>48</v>
      </c>
      <c r="B274" s="3" t="s">
        <v>0</v>
      </c>
      <c r="C274" s="3" t="s">
        <v>36</v>
      </c>
      <c r="D274" s="3" t="s">
        <v>8</v>
      </c>
      <c r="E274" s="5" t="s">
        <v>9</v>
      </c>
      <c r="F274" s="5" t="s">
        <v>10</v>
      </c>
      <c r="G274" s="46"/>
      <c r="H274" s="47"/>
      <c r="I274" s="45"/>
      <c r="J274" s="45"/>
      <c r="K274" s="45"/>
      <c r="L274" s="45"/>
      <c r="M274" s="46"/>
      <c r="N274" s="48" t="s">
        <v>8</v>
      </c>
      <c r="O274" s="48" t="s">
        <v>9</v>
      </c>
      <c r="P274" s="48" t="s">
        <v>10</v>
      </c>
    </row>
    <row r="275" spans="1:16" ht="15.75" thickTop="1" x14ac:dyDescent="0.25">
      <c r="A275" s="18">
        <v>43549</v>
      </c>
      <c r="B275" s="16">
        <f>IFERROR(VLOOKUP(A275,OverviewTable[],2,FALSE),"?")</f>
        <v>130</v>
      </c>
      <c r="C275" s="16" t="str">
        <f>((N280 * 4) + (O280 * 9) + (P280 * 4))&amp;"/"&amp;IFERROR(VLOOKUP(A275,OverviewTable[],11,FALSE),"?")</f>
        <v>1996.925/2330</v>
      </c>
      <c r="D275" s="16" t="str">
        <f>N280&amp;"/"&amp;IFERROR(VLOOKUP(A275,OverviewTable[],12,FALSE),"?")</f>
        <v>149.725/130</v>
      </c>
      <c r="E275" s="16" t="str">
        <f>O280&amp;"/"&amp;IFERROR(VLOOKUP(A275,OverviewTable[],13,FALSE),"?")</f>
        <v>81.425/65</v>
      </c>
      <c r="F275" s="16" t="str">
        <f>P280&amp;"/"&amp;IFERROR(VLOOKUP(A275,OverviewTable[],14,FALSE),"?")</f>
        <v>166.3/306</v>
      </c>
      <c r="G275" s="47"/>
      <c r="H275" s="47"/>
      <c r="I275" s="45"/>
      <c r="J275" s="45"/>
      <c r="K275" s="45"/>
      <c r="L275" s="45"/>
      <c r="M275" s="48" t="s">
        <v>6</v>
      </c>
      <c r="N275" s="48">
        <f>(A278 * IFERROR(VLOOKUP(B278,BreakfastTable[],2,FALSE),0)) + (A279 * IFERROR(VLOOKUP(B279,BreakfastTable[],2,FALSE),0)) + (A280 * IFERROR(VLOOKUP(B280,BreakfastTable[],2,FALSE),0)) + (A281 * IFERROR(VLOOKUP(B281,BreakfastTable[],2,FALSE),0))</f>
        <v>20</v>
      </c>
      <c r="O275" s="48">
        <f>(A278 * IFERROR(VLOOKUP(B278,BreakfastTable[],3,FALSE),0)) + (A279 * IFERROR(VLOOKUP(B279,BreakfastTable[],3,FALSE),0)) + (A280 * IFERROR(VLOOKUP(B280,BreakfastTable[],3,FALSE),0)) + (A281 * IFERROR(VLOOKUP(B281,BreakfastTable[],3,FALSE),0))</f>
        <v>9</v>
      </c>
      <c r="P275" s="48">
        <f>(A278 * IFERROR(VLOOKUP(B278,BreakfastTable[],4,FALSE),0)) + (A279 * IFERROR(VLOOKUP(B279,BreakfastTable[],4,FALSE),0)) + (A280 * IFERROR(VLOOKUP(B280,BreakfastTable[],4,FALSE),0)) + (A281 * IFERROR(VLOOKUP(B281,BreakfastTable[],4,FALSE),0))</f>
        <v>30</v>
      </c>
    </row>
    <row r="276" spans="1:16" x14ac:dyDescent="0.25">
      <c r="A276" s="17"/>
      <c r="B276" s="17"/>
      <c r="C276" s="17"/>
      <c r="D276" s="17"/>
      <c r="E276" s="17"/>
      <c r="F276" s="17"/>
      <c r="G276" s="47"/>
      <c r="H276" s="47"/>
      <c r="I276" s="45"/>
      <c r="J276" s="45"/>
      <c r="K276" s="45"/>
      <c r="L276" s="45"/>
      <c r="M276" s="48" t="s">
        <v>11</v>
      </c>
      <c r="N276" s="48">
        <f>(C278 * IFERROR(VLOOKUP(D278,LunchTable[],2,FALSE),0)) + (C279 * IFERROR(VLOOKUP(D279,LunchTable[],2,FALSE),0)) + (C280 * IFERROR(VLOOKUP(D280,LunchTable[],2,FALSE),0)) + (C281 * IFERROR(VLOOKUP(D281,LunchTable[],2,FALSE),0))</f>
        <v>88.125</v>
      </c>
      <c r="O276" s="48">
        <f>(C278 * IFERROR(VLOOKUP(D278,LunchTable[],3,FALSE),0)) + (C279 * IFERROR(VLOOKUP(D279,LunchTable[],3,FALSE),0)) + (C280 * IFERROR(VLOOKUP(D280,LunchTable[],3,FALSE),0)) + (C281 * IFERROR(VLOOKUP(D281,LunchTable[],3,FALSE),0))</f>
        <v>31.925000000000001</v>
      </c>
      <c r="P276" s="48">
        <f>(C278 * IFERROR(VLOOKUP(D278,LunchTable[],4,FALSE),0)) + (C279 * IFERROR(VLOOKUP(D279,LunchTable[],4,FALSE),0)) + (C280 * IFERROR(VLOOKUP(D280,LunchTable[],4,FALSE),0)) + (C281 * IFERROR(VLOOKUP(D281,LunchTable[],4,FALSE),0))</f>
        <v>72</v>
      </c>
    </row>
    <row r="277" spans="1:16" ht="18" thickBot="1" x14ac:dyDescent="0.35">
      <c r="A277" s="10" t="s">
        <v>34</v>
      </c>
      <c r="B277" s="11" t="s">
        <v>6</v>
      </c>
      <c r="C277" s="10" t="s">
        <v>34</v>
      </c>
      <c r="D277" s="11" t="s">
        <v>11</v>
      </c>
      <c r="E277" s="10" t="s">
        <v>34</v>
      </c>
      <c r="F277" s="11" t="s">
        <v>12</v>
      </c>
      <c r="G277" s="10" t="s">
        <v>34</v>
      </c>
      <c r="H277" s="12" t="s">
        <v>35</v>
      </c>
      <c r="I277" s="5" t="s">
        <v>41</v>
      </c>
      <c r="J277" s="5" t="s">
        <v>42</v>
      </c>
      <c r="K277" s="5" t="s">
        <v>43</v>
      </c>
      <c r="L277" s="45"/>
      <c r="M277" s="48" t="s">
        <v>12</v>
      </c>
      <c r="N277" s="48">
        <f>(E278 * IFERROR(VLOOKUP(F278,DinnerTable[],2,FALSE),0)) + (E279 * IFERROR(VLOOKUP(F279,DinnerTable[],2,FALSE),0)) + (E280 * IFERROR(VLOOKUP(F280,DinnerTable[],2,FALSE),0)) + (E281 * IFERROR(VLOOKUP(F281,DinnerTable[],2,FALSE),0))</f>
        <v>40</v>
      </c>
      <c r="O277" s="48">
        <f>(E278 * IFERROR(VLOOKUP(F278,DinnerTable[],3,FALSE),0)) + (E279 * IFERROR(VLOOKUP(F279,DinnerTable[],3,FALSE),0)) + (E280 * IFERROR(VLOOKUP(F280,DinnerTable[],3,FALSE),0)) + (E281 * IFERROR(VLOOKUP(F281,DinnerTable[],3,FALSE),0))</f>
        <v>40</v>
      </c>
      <c r="P277" s="48">
        <f>(E278 * IFERROR(VLOOKUP(F278,DinnerTable[],4,FALSE),0)) + (E279 * IFERROR(VLOOKUP(F279,DinnerTable[],4,FALSE),0)) + (E280 * IFERROR(VLOOKUP(F280,DinnerTable[],4,FALSE),0)) + (E281 * IFERROR(VLOOKUP(F281,DinnerTable[],4,FALSE),0))</f>
        <v>30</v>
      </c>
    </row>
    <row r="278" spans="1:16" ht="15.75" thickTop="1" x14ac:dyDescent="0.25">
      <c r="A278" s="17">
        <v>1</v>
      </c>
      <c r="B278" s="17" t="s">
        <v>26</v>
      </c>
      <c r="C278" s="17">
        <v>0.33</v>
      </c>
      <c r="D278" s="17" t="s">
        <v>60</v>
      </c>
      <c r="E278" s="17">
        <v>1</v>
      </c>
      <c r="F278" s="17" t="s">
        <v>50</v>
      </c>
      <c r="G278" s="17">
        <v>1</v>
      </c>
      <c r="H278" s="17" t="s">
        <v>27</v>
      </c>
      <c r="I278" s="2"/>
      <c r="J278" s="2"/>
      <c r="K278" s="2"/>
      <c r="L278" s="45"/>
      <c r="M278" s="48" t="s">
        <v>35</v>
      </c>
      <c r="N278" s="48">
        <f>(G278 * IFERROR(VLOOKUP(H278,PostWorkoutTable[],2,FALSE),0)) + (G279 * IFERROR(VLOOKUP(H279,PostWorkoutTable[],2,FALSE),0)) + (G280 * IFERROR(VLOOKUP(H280,PostWorkoutTable[],2,FALSE),0)) + (G281 * IFERROR(VLOOKUP(H281,PostWorkoutTable[],2,FALSE),0))</f>
        <v>1.6</v>
      </c>
      <c r="O278" s="48">
        <f>(G278 * IFERROR(VLOOKUP(H278,PostWorkoutTable[],3,FALSE),0)) + (G279 * IFERROR(VLOOKUP(H279,PostWorkoutTable[],3,FALSE),0)) + (G280 * IFERROR(VLOOKUP(H280,PostWorkoutTable[],3,FALSE),0)) + (G281 * IFERROR(VLOOKUP(H281,PostWorkoutTable[],3,FALSE),0))</f>
        <v>0.5</v>
      </c>
      <c r="P278" s="48">
        <f>(G278 * IFERROR(VLOOKUP(H278,PostWorkoutTable[],4,FALSE),0)) + (G279 * IFERROR(VLOOKUP(H279,PostWorkoutTable[],4,FALSE),0)) + (G280 * IFERROR(VLOOKUP(H280,PostWorkoutTable[],4,FALSE),0)) + (G281 * IFERROR(VLOOKUP(H281,PostWorkoutTable[],4,FALSE),0))</f>
        <v>34.299999999999997</v>
      </c>
    </row>
    <row r="279" spans="1:16" x14ac:dyDescent="0.25">
      <c r="A279" s="17"/>
      <c r="B279" s="17"/>
      <c r="C279" s="17">
        <v>4</v>
      </c>
      <c r="D279" s="17" t="s">
        <v>22</v>
      </c>
      <c r="E279" s="17">
        <v>1</v>
      </c>
      <c r="F279" s="17" t="s">
        <v>67</v>
      </c>
      <c r="G279" s="17"/>
      <c r="H279" s="17"/>
      <c r="I279" s="2"/>
      <c r="J279" s="2"/>
      <c r="K279" s="2"/>
      <c r="L279" s="45"/>
      <c r="M279" s="48" t="s">
        <v>21</v>
      </c>
      <c r="N279" s="48">
        <f xml:space="preserve"> SUM(I278:I281)</f>
        <v>0</v>
      </c>
      <c r="O279" s="48">
        <f>SUM(J278:J281)</f>
        <v>0</v>
      </c>
      <c r="P279" s="48">
        <f>SUM(K278:K281)</f>
        <v>0</v>
      </c>
    </row>
    <row r="280" spans="1:16" x14ac:dyDescent="0.25">
      <c r="A280" s="17"/>
      <c r="B280" s="17"/>
      <c r="C280" s="17"/>
      <c r="D280" s="17"/>
      <c r="E280" s="17"/>
      <c r="F280" s="17"/>
      <c r="G280" s="17"/>
      <c r="H280" s="17"/>
      <c r="I280" s="2"/>
      <c r="J280" s="2"/>
      <c r="K280" s="2"/>
      <c r="L280" s="45"/>
      <c r="M280" s="48" t="s">
        <v>38</v>
      </c>
      <c r="N280" s="48">
        <f>SUM(N275:N279)</f>
        <v>149.72499999999999</v>
      </c>
      <c r="O280" s="48">
        <f>SUM(O275:O279)</f>
        <v>81.424999999999997</v>
      </c>
      <c r="P280" s="48">
        <f>SUM(P275:P279)</f>
        <v>166.3</v>
      </c>
    </row>
    <row r="281" spans="1:16" x14ac:dyDescent="0.25">
      <c r="A281" s="17"/>
      <c r="B281" s="17"/>
      <c r="C281" s="17"/>
      <c r="D281" s="17"/>
      <c r="E281" s="17"/>
      <c r="F281" s="17"/>
      <c r="G281" s="17"/>
      <c r="H281" s="17"/>
      <c r="I281" s="2"/>
      <c r="J281" s="2"/>
      <c r="K281" s="2"/>
      <c r="L281" s="45"/>
      <c r="M281" s="45"/>
      <c r="N281" s="45"/>
      <c r="O281" s="45"/>
      <c r="P281" s="45"/>
    </row>
    <row r="282" spans="1:16" x14ac:dyDescent="0.25">
      <c r="A282" s="45"/>
      <c r="B282" s="45"/>
      <c r="C282" s="45"/>
      <c r="D282" s="45"/>
      <c r="E282" s="45"/>
      <c r="F282" s="45"/>
      <c r="G282" s="45"/>
      <c r="H282" s="45"/>
      <c r="I282" s="45"/>
      <c r="J282" s="45"/>
      <c r="K282" s="45"/>
      <c r="L282" s="45"/>
      <c r="M282" s="45"/>
      <c r="N282" s="45"/>
      <c r="O282" s="45"/>
      <c r="P282" s="45"/>
    </row>
    <row r="283" spans="1:16" ht="23.25" x14ac:dyDescent="0.35">
      <c r="A283" s="49">
        <v>43553</v>
      </c>
      <c r="B283" s="45"/>
      <c r="C283" s="45"/>
      <c r="D283" s="45"/>
      <c r="E283" s="45"/>
      <c r="F283" s="45"/>
      <c r="G283" s="45"/>
      <c r="H283" s="45"/>
      <c r="I283" s="45"/>
      <c r="J283" s="45"/>
      <c r="K283" s="45"/>
      <c r="L283" s="45"/>
      <c r="M283" s="45"/>
      <c r="N283" s="45"/>
      <c r="O283" s="45"/>
      <c r="P283" s="45"/>
    </row>
    <row r="284" spans="1:16" ht="18" thickBot="1" x14ac:dyDescent="0.35">
      <c r="A284" s="3" t="s">
        <v>48</v>
      </c>
      <c r="B284" s="3" t="s">
        <v>0</v>
      </c>
      <c r="C284" s="3" t="s">
        <v>36</v>
      </c>
      <c r="D284" s="3" t="s">
        <v>8</v>
      </c>
      <c r="E284" s="5" t="s">
        <v>9</v>
      </c>
      <c r="F284" s="5" t="s">
        <v>10</v>
      </c>
      <c r="G284" s="46"/>
      <c r="H284" s="47"/>
      <c r="I284" s="45"/>
      <c r="J284" s="45"/>
      <c r="K284" s="45"/>
      <c r="L284" s="45"/>
      <c r="M284" s="46"/>
      <c r="N284" s="48" t="s">
        <v>8</v>
      </c>
      <c r="O284" s="48" t="s">
        <v>9</v>
      </c>
      <c r="P284" s="48" t="s">
        <v>10</v>
      </c>
    </row>
    <row r="285" spans="1:16" ht="15.75" thickTop="1" x14ac:dyDescent="0.25">
      <c r="A285" s="18">
        <v>43549</v>
      </c>
      <c r="B285" s="16">
        <f>IFERROR(VLOOKUP(A285,OverviewTable[],2,FALSE),"?")</f>
        <v>130</v>
      </c>
      <c r="C285" s="16" t="str">
        <f>((N290 * 4) + (O290 * 9) + (P290 * 4))&amp;"/"&amp;IFERROR(VLOOKUP(A285,OverviewTable[],11,FALSE),"?")</f>
        <v>2642.5/2330</v>
      </c>
      <c r="D285" s="16" t="str">
        <f>N290&amp;"/"&amp;IFERROR(VLOOKUP(A285,OverviewTable[],12,FALSE),"?")</f>
        <v>120.3/130</v>
      </c>
      <c r="E285" s="16" t="str">
        <f>O290&amp;"/"&amp;IFERROR(VLOOKUP(A285,OverviewTable[],13,FALSE),"?")</f>
        <v>96.9/65</v>
      </c>
      <c r="F285" s="16" t="str">
        <f>P290&amp;"/"&amp;IFERROR(VLOOKUP(A285,OverviewTable[],14,FALSE),"?")</f>
        <v>322.3/306</v>
      </c>
      <c r="G285" s="47"/>
      <c r="H285" s="47"/>
      <c r="I285" s="45"/>
      <c r="J285" s="45"/>
      <c r="K285" s="45"/>
      <c r="L285" s="45"/>
      <c r="M285" s="48" t="s">
        <v>6</v>
      </c>
      <c r="N285" s="48">
        <f>(A288 * IFERROR(VLOOKUP(B288,BreakfastTable[],2,FALSE),0)) + (A289 * IFERROR(VLOOKUP(B289,BreakfastTable[],2,FALSE),0)) + (A290 * IFERROR(VLOOKUP(B290,BreakfastTable[],2,FALSE),0)) + (A291 * IFERROR(VLOOKUP(B291,BreakfastTable[],2,FALSE),0))</f>
        <v>32.299999999999997</v>
      </c>
      <c r="O285" s="48">
        <f>(A288 * IFERROR(VLOOKUP(B288,BreakfastTable[],3,FALSE),0)) + (A289 * IFERROR(VLOOKUP(B289,BreakfastTable[],3,FALSE),0)) + (A290 * IFERROR(VLOOKUP(B290,BreakfastTable[],3,FALSE),0)) + (A291 * IFERROR(VLOOKUP(B291,BreakfastTable[],3,FALSE),0))</f>
        <v>14.9</v>
      </c>
      <c r="P285" s="48">
        <f>(A288 * IFERROR(VLOOKUP(B288,BreakfastTable[],4,FALSE),0)) + (A289 * IFERROR(VLOOKUP(B289,BreakfastTable[],4,FALSE),0)) + (A290 * IFERROR(VLOOKUP(B290,BreakfastTable[],4,FALSE),0)) + (A291 * IFERROR(VLOOKUP(B291,BreakfastTable[],4,FALSE),0))</f>
        <v>55.3</v>
      </c>
    </row>
    <row r="286" spans="1:16" x14ac:dyDescent="0.25">
      <c r="A286" s="17"/>
      <c r="B286" s="17"/>
      <c r="C286" s="17"/>
      <c r="D286" s="17"/>
      <c r="E286" s="17"/>
      <c r="F286" s="17"/>
      <c r="G286" s="47"/>
      <c r="H286" s="47"/>
      <c r="I286" s="45"/>
      <c r="J286" s="45"/>
      <c r="K286" s="45"/>
      <c r="L286" s="45"/>
      <c r="M286" s="48" t="s">
        <v>11</v>
      </c>
      <c r="N286" s="48">
        <f>(C288 * IFERROR(VLOOKUP(D288,LunchTable[],2,FALSE),0)) + (C289 * IFERROR(VLOOKUP(D289,LunchTable[],2,FALSE),0)) + (C290 * IFERROR(VLOOKUP(D290,LunchTable[],2,FALSE),0)) + (C291 * IFERROR(VLOOKUP(D291,LunchTable[],2,FALSE),0))</f>
        <v>0</v>
      </c>
      <c r="O286" s="48">
        <f>(C288 * IFERROR(VLOOKUP(D288,LunchTable[],3,FALSE),0)) + (C289 * IFERROR(VLOOKUP(D289,LunchTable[],3,FALSE),0)) + (C290 * IFERROR(VLOOKUP(D290,LunchTable[],3,FALSE),0)) + (C291 * IFERROR(VLOOKUP(D291,LunchTable[],3,FALSE),0))</f>
        <v>0</v>
      </c>
      <c r="P286" s="48">
        <f>(C288 * IFERROR(VLOOKUP(D288,LunchTable[],4,FALSE),0)) + (C289 * IFERROR(VLOOKUP(D289,LunchTable[],4,FALSE),0)) + (C290 * IFERROR(VLOOKUP(D290,LunchTable[],4,FALSE),0)) + (C291 * IFERROR(VLOOKUP(D291,LunchTable[],4,FALSE),0))</f>
        <v>0</v>
      </c>
    </row>
    <row r="287" spans="1:16" ht="18" thickBot="1" x14ac:dyDescent="0.35">
      <c r="A287" s="10" t="s">
        <v>34</v>
      </c>
      <c r="B287" s="11" t="s">
        <v>6</v>
      </c>
      <c r="C287" s="10" t="s">
        <v>34</v>
      </c>
      <c r="D287" s="11" t="s">
        <v>11</v>
      </c>
      <c r="E287" s="10" t="s">
        <v>34</v>
      </c>
      <c r="F287" s="11" t="s">
        <v>12</v>
      </c>
      <c r="G287" s="10" t="s">
        <v>34</v>
      </c>
      <c r="H287" s="12" t="s">
        <v>35</v>
      </c>
      <c r="I287" s="5" t="s">
        <v>41</v>
      </c>
      <c r="J287" s="5" t="s">
        <v>42</v>
      </c>
      <c r="K287" s="5" t="s">
        <v>43</v>
      </c>
      <c r="L287" s="45"/>
      <c r="M287" s="48" t="s">
        <v>12</v>
      </c>
      <c r="N287" s="48">
        <f>(E288 * IFERROR(VLOOKUP(F288,DinnerTable[],2,FALSE),0)) + (E289 * IFERROR(VLOOKUP(F289,DinnerTable[],2,FALSE),0)) + (E290 * IFERROR(VLOOKUP(F290,DinnerTable[],2,FALSE),0)) + (E291 * IFERROR(VLOOKUP(F291,DinnerTable[],2,FALSE),0))</f>
        <v>0</v>
      </c>
      <c r="O287" s="48">
        <f>(E288 * IFERROR(VLOOKUP(F288,DinnerTable[],3,FALSE),0)) + (E289 * IFERROR(VLOOKUP(F289,DinnerTable[],3,FALSE),0)) + (E290 * IFERROR(VLOOKUP(F290,DinnerTable[],3,FALSE),0)) + (E291 * IFERROR(VLOOKUP(F291,DinnerTable[],3,FALSE),0))</f>
        <v>0</v>
      </c>
      <c r="P287" s="48">
        <f>(E288 * IFERROR(VLOOKUP(F288,DinnerTable[],4,FALSE),0)) + (E289 * IFERROR(VLOOKUP(F289,DinnerTable[],4,FALSE),0)) + (E290 * IFERROR(VLOOKUP(F290,DinnerTable[],4,FALSE),0)) + (E291 * IFERROR(VLOOKUP(F291,DinnerTable[],4,FALSE),0))</f>
        <v>0</v>
      </c>
    </row>
    <row r="288" spans="1:16" ht="15.75" thickTop="1" x14ac:dyDescent="0.25">
      <c r="A288" s="17">
        <v>1</v>
      </c>
      <c r="B288" s="17" t="s">
        <v>98</v>
      </c>
      <c r="C288" s="17"/>
      <c r="D288" s="17"/>
      <c r="E288" s="17"/>
      <c r="F288" s="17"/>
      <c r="G288" s="17"/>
      <c r="H288" s="17"/>
      <c r="I288" s="2">
        <v>40</v>
      </c>
      <c r="J288" s="2">
        <v>36</v>
      </c>
      <c r="K288" s="2">
        <v>23</v>
      </c>
      <c r="L288" s="45"/>
      <c r="M288" s="48" t="s">
        <v>35</v>
      </c>
      <c r="N288" s="48">
        <f>(G288 * IFERROR(VLOOKUP(H288,PostWorkoutTable[],2,FALSE),0)) + (G289 * IFERROR(VLOOKUP(H289,PostWorkoutTable[],2,FALSE),0)) + (G290 * IFERROR(VLOOKUP(H290,PostWorkoutTable[],2,FALSE),0)) + (G291 * IFERROR(VLOOKUP(H291,PostWorkoutTable[],2,FALSE),0))</f>
        <v>0</v>
      </c>
      <c r="O288" s="48">
        <f>(G288 * IFERROR(VLOOKUP(H288,PostWorkoutTable[],3,FALSE),0)) + (G289 * IFERROR(VLOOKUP(H289,PostWorkoutTable[],3,FALSE),0)) + (G290 * IFERROR(VLOOKUP(H290,PostWorkoutTable[],3,FALSE),0)) + (G291 * IFERROR(VLOOKUP(H291,PostWorkoutTable[],3,FALSE),0))</f>
        <v>0</v>
      </c>
      <c r="P288" s="48">
        <f>(G288 * IFERROR(VLOOKUP(H288,PostWorkoutTable[],4,FALSE),0)) + (G289 * IFERROR(VLOOKUP(H289,PostWorkoutTable[],4,FALSE),0)) + (G290 * IFERROR(VLOOKUP(H290,PostWorkoutTable[],4,FALSE),0)) + (G291 * IFERROR(VLOOKUP(H291,PostWorkoutTable[],4,FALSE),0))</f>
        <v>0</v>
      </c>
    </row>
    <row r="289" spans="1:16" x14ac:dyDescent="0.25">
      <c r="A289" s="17"/>
      <c r="B289" s="17"/>
      <c r="C289" s="17"/>
      <c r="D289" s="17"/>
      <c r="E289" s="17"/>
      <c r="F289" s="17"/>
      <c r="G289" s="17"/>
      <c r="H289" s="17"/>
      <c r="I289" s="2">
        <v>48</v>
      </c>
      <c r="J289" s="2">
        <v>46</v>
      </c>
      <c r="K289" s="2">
        <v>127</v>
      </c>
      <c r="L289" s="45"/>
      <c r="M289" s="48" t="s">
        <v>21</v>
      </c>
      <c r="N289" s="48">
        <f xml:space="preserve"> SUM(I288:I291)</f>
        <v>88</v>
      </c>
      <c r="O289" s="48">
        <f>SUM(J288:J291)</f>
        <v>82</v>
      </c>
      <c r="P289" s="48">
        <f>SUM(K288:K291)</f>
        <v>267</v>
      </c>
    </row>
    <row r="290" spans="1:16" x14ac:dyDescent="0.25">
      <c r="A290" s="17"/>
      <c r="B290" s="17"/>
      <c r="C290" s="17"/>
      <c r="D290" s="17"/>
      <c r="E290" s="17"/>
      <c r="F290" s="17"/>
      <c r="G290" s="17"/>
      <c r="H290" s="17"/>
      <c r="I290" s="2">
        <v>0</v>
      </c>
      <c r="J290" s="2">
        <v>0</v>
      </c>
      <c r="K290" s="2">
        <v>117</v>
      </c>
      <c r="L290" s="45"/>
      <c r="M290" s="48" t="s">
        <v>38</v>
      </c>
      <c r="N290" s="48">
        <f>SUM(N285:N289)</f>
        <v>120.3</v>
      </c>
      <c r="O290" s="48">
        <f>SUM(O285:O289)</f>
        <v>96.9</v>
      </c>
      <c r="P290" s="48">
        <f>SUM(P285:P289)</f>
        <v>322.3</v>
      </c>
    </row>
    <row r="291" spans="1:16" x14ac:dyDescent="0.25">
      <c r="A291" s="17"/>
      <c r="B291" s="17"/>
      <c r="C291" s="17"/>
      <c r="D291" s="17"/>
      <c r="E291" s="17"/>
      <c r="F291" s="17"/>
      <c r="G291" s="17"/>
      <c r="H291" s="17"/>
      <c r="I291" s="2"/>
      <c r="J291" s="2"/>
      <c r="K291" s="2"/>
      <c r="L291" s="45"/>
      <c r="M291" s="45"/>
      <c r="N291" s="45"/>
      <c r="O291" s="45"/>
      <c r="P291" s="45"/>
    </row>
    <row r="292" spans="1:16" x14ac:dyDescent="0.25">
      <c r="A292" s="45"/>
      <c r="B292" s="45"/>
      <c r="C292" s="45"/>
      <c r="D292" s="45"/>
      <c r="E292" s="45"/>
      <c r="F292" s="45"/>
      <c r="G292" s="45"/>
      <c r="H292" s="45"/>
      <c r="I292" s="45"/>
      <c r="J292" s="45"/>
      <c r="K292" s="45"/>
      <c r="L292" s="45"/>
      <c r="M292" s="45"/>
      <c r="N292" s="45"/>
      <c r="O292" s="45"/>
      <c r="P292" s="45"/>
    </row>
    <row r="293" spans="1:16" ht="23.25" x14ac:dyDescent="0.35">
      <c r="A293" s="49">
        <v>43554</v>
      </c>
      <c r="B293" s="45"/>
      <c r="C293" s="45"/>
      <c r="D293" s="45"/>
      <c r="E293" s="45"/>
      <c r="F293" s="45"/>
      <c r="G293" s="45"/>
      <c r="H293" s="45"/>
      <c r="I293" s="45"/>
      <c r="J293" s="45"/>
      <c r="K293" s="45"/>
      <c r="L293" s="45"/>
      <c r="M293" s="45"/>
      <c r="N293" s="45"/>
      <c r="O293" s="45"/>
      <c r="P293" s="45"/>
    </row>
    <row r="294" spans="1:16" ht="18" thickBot="1" x14ac:dyDescent="0.35">
      <c r="A294" s="3" t="s">
        <v>48</v>
      </c>
      <c r="B294" s="3" t="s">
        <v>0</v>
      </c>
      <c r="C294" s="3" t="s">
        <v>36</v>
      </c>
      <c r="D294" s="3" t="s">
        <v>8</v>
      </c>
      <c r="E294" s="5" t="s">
        <v>9</v>
      </c>
      <c r="F294" s="5" t="s">
        <v>10</v>
      </c>
      <c r="G294" s="46"/>
      <c r="H294" s="47"/>
      <c r="I294" s="45"/>
      <c r="J294" s="45"/>
      <c r="K294" s="45"/>
      <c r="L294" s="45"/>
      <c r="M294" s="46"/>
      <c r="N294" s="48" t="s">
        <v>8</v>
      </c>
      <c r="O294" s="48" t="s">
        <v>9</v>
      </c>
      <c r="P294" s="48" t="s">
        <v>10</v>
      </c>
    </row>
    <row r="295" spans="1:16" ht="15.75" thickTop="1" x14ac:dyDescent="0.25">
      <c r="A295" s="18">
        <v>43549</v>
      </c>
      <c r="B295" s="16">
        <f>IFERROR(VLOOKUP(A295,OverviewTable[],2,FALSE),"?")</f>
        <v>130</v>
      </c>
      <c r="C295" s="16" t="str">
        <f>((N300 * 4) + (O300 * 9) + (P300 * 4))&amp;"/"&amp;IFERROR(VLOOKUP(A295,OverviewTable[],11,FALSE),"?")</f>
        <v>1541.5/2330</v>
      </c>
      <c r="D295" s="16" t="str">
        <f>N300&amp;"/"&amp;IFERROR(VLOOKUP(A295,OverviewTable[],12,FALSE),"?")</f>
        <v>95.7/130</v>
      </c>
      <c r="E295" s="16" t="str">
        <f>O300&amp;"/"&amp;IFERROR(VLOOKUP(A295,OverviewTable[],13,FALSE),"?")</f>
        <v>37.9/65</v>
      </c>
      <c r="F295" s="16" t="str">
        <f>P300&amp;"/"&amp;IFERROR(VLOOKUP(A295,OverviewTable[],14,FALSE),"?")</f>
        <v>204.4/306</v>
      </c>
      <c r="G295" s="47"/>
      <c r="H295" s="47"/>
      <c r="I295" s="45"/>
      <c r="J295" s="45"/>
      <c r="K295" s="45"/>
      <c r="L295" s="45"/>
      <c r="M295" s="48" t="s">
        <v>6</v>
      </c>
      <c r="N295" s="48">
        <f>(A298 * IFERROR(VLOOKUP(B298,BreakfastTable[],2,FALSE),0)) + (A299 * IFERROR(VLOOKUP(B299,BreakfastTable[],2,FALSE),0)) + (A300 * IFERROR(VLOOKUP(B300,BreakfastTable[],2,FALSE),0)) + (A301 * IFERROR(VLOOKUP(B301,BreakfastTable[],2,FALSE),0))</f>
        <v>0</v>
      </c>
      <c r="O295" s="48">
        <f>(A298 * IFERROR(VLOOKUP(B298,BreakfastTable[],3,FALSE),0)) + (A299 * IFERROR(VLOOKUP(B299,BreakfastTable[],3,FALSE),0)) + (A300 * IFERROR(VLOOKUP(B300,BreakfastTable[],3,FALSE),0)) + (A301 * IFERROR(VLOOKUP(B301,BreakfastTable[],3,FALSE),0))</f>
        <v>0</v>
      </c>
      <c r="P295" s="48">
        <f>(A298 * IFERROR(VLOOKUP(B298,BreakfastTable[],4,FALSE),0)) + (A299 * IFERROR(VLOOKUP(B299,BreakfastTable[],4,FALSE),0)) + (A300 * IFERROR(VLOOKUP(B300,BreakfastTable[],4,FALSE),0)) + (A301 * IFERROR(VLOOKUP(B301,BreakfastTable[],4,FALSE),0))</f>
        <v>0</v>
      </c>
    </row>
    <row r="296" spans="1:16" x14ac:dyDescent="0.25">
      <c r="A296" s="17"/>
      <c r="B296" s="17"/>
      <c r="C296" s="17"/>
      <c r="D296" s="17"/>
      <c r="E296" s="17"/>
      <c r="F296" s="17"/>
      <c r="G296" s="47"/>
      <c r="H296" s="47"/>
      <c r="I296" s="45"/>
      <c r="J296" s="45"/>
      <c r="K296" s="45"/>
      <c r="L296" s="45"/>
      <c r="M296" s="48" t="s">
        <v>11</v>
      </c>
      <c r="N296" s="48">
        <f>(C298 * IFERROR(VLOOKUP(D298,LunchTable[],2,FALSE),0)) + (C299 * IFERROR(VLOOKUP(D299,LunchTable[],2,FALSE),0)) + (C300 * IFERROR(VLOOKUP(D300,LunchTable[],2,FALSE),0)) + (C301 * IFERROR(VLOOKUP(D301,LunchTable[],2,FALSE),0))</f>
        <v>0</v>
      </c>
      <c r="O296" s="48">
        <f>(C298 * IFERROR(VLOOKUP(D298,LunchTable[],3,FALSE),0)) + (C299 * IFERROR(VLOOKUP(D299,LunchTable[],3,FALSE),0)) + (C300 * IFERROR(VLOOKUP(D300,LunchTable[],3,FALSE),0)) + (C301 * IFERROR(VLOOKUP(D301,LunchTable[],3,FALSE),0))</f>
        <v>0</v>
      </c>
      <c r="P296" s="48">
        <f>(C298 * IFERROR(VLOOKUP(D298,LunchTable[],4,FALSE),0)) + (C299 * IFERROR(VLOOKUP(D299,LunchTable[],4,FALSE),0)) + (C300 * IFERROR(VLOOKUP(D300,LunchTable[],4,FALSE),0)) + (C301 * IFERROR(VLOOKUP(D301,LunchTable[],4,FALSE),0))</f>
        <v>0</v>
      </c>
    </row>
    <row r="297" spans="1:16" ht="18" thickBot="1" x14ac:dyDescent="0.35">
      <c r="A297" s="10" t="s">
        <v>34</v>
      </c>
      <c r="B297" s="11" t="s">
        <v>6</v>
      </c>
      <c r="C297" s="10" t="s">
        <v>34</v>
      </c>
      <c r="D297" s="11" t="s">
        <v>11</v>
      </c>
      <c r="E297" s="10" t="s">
        <v>34</v>
      </c>
      <c r="F297" s="11" t="s">
        <v>12</v>
      </c>
      <c r="G297" s="10" t="s">
        <v>34</v>
      </c>
      <c r="H297" s="12" t="s">
        <v>35</v>
      </c>
      <c r="I297" s="5" t="s">
        <v>41</v>
      </c>
      <c r="J297" s="5" t="s">
        <v>42</v>
      </c>
      <c r="K297" s="5" t="s">
        <v>43</v>
      </c>
      <c r="L297" s="45"/>
      <c r="M297" s="48" t="s">
        <v>12</v>
      </c>
      <c r="N297" s="48">
        <f>(E298 * IFERROR(VLOOKUP(F298,DinnerTable[],2,FALSE),0)) + (E299 * IFERROR(VLOOKUP(F299,DinnerTable[],2,FALSE),0)) + (E300 * IFERROR(VLOOKUP(F300,DinnerTable[],2,FALSE),0)) + (E301 * IFERROR(VLOOKUP(F301,DinnerTable[],2,FALSE),0))</f>
        <v>23</v>
      </c>
      <c r="O297" s="48">
        <f>(E298 * IFERROR(VLOOKUP(F298,DinnerTable[],3,FALSE),0)) + (E299 * IFERROR(VLOOKUP(F299,DinnerTable[],3,FALSE),0)) + (E300 * IFERROR(VLOOKUP(F300,DinnerTable[],3,FALSE),0)) + (E301 * IFERROR(VLOOKUP(F301,DinnerTable[],3,FALSE),0))</f>
        <v>9</v>
      </c>
      <c r="P297" s="48">
        <f>(E298 * IFERROR(VLOOKUP(F298,DinnerTable[],4,FALSE),0)) + (E299 * IFERROR(VLOOKUP(F299,DinnerTable[],4,FALSE),0)) + (E300 * IFERROR(VLOOKUP(F300,DinnerTable[],4,FALSE),0)) + (E301 * IFERROR(VLOOKUP(F301,DinnerTable[],4,FALSE),0))</f>
        <v>105</v>
      </c>
    </row>
    <row r="298" spans="1:16" ht="15.75" thickTop="1" x14ac:dyDescent="0.25">
      <c r="A298" s="17"/>
      <c r="B298" s="17"/>
      <c r="C298" s="17"/>
      <c r="D298" s="17"/>
      <c r="E298" s="17">
        <v>2</v>
      </c>
      <c r="F298" s="17" t="s">
        <v>29</v>
      </c>
      <c r="G298" s="17">
        <v>1</v>
      </c>
      <c r="H298" s="17" t="s">
        <v>96</v>
      </c>
      <c r="I298" s="2">
        <v>39</v>
      </c>
      <c r="J298" s="2">
        <v>14</v>
      </c>
      <c r="K298" s="2">
        <v>44</v>
      </c>
      <c r="L298" s="45"/>
      <c r="M298" s="48" t="s">
        <v>35</v>
      </c>
      <c r="N298" s="48">
        <f>(G298 * IFERROR(VLOOKUP(H298,PostWorkoutTable[],2,FALSE),0)) + (G299 * IFERROR(VLOOKUP(H299,PostWorkoutTable[],2,FALSE),0)) + (G300 * IFERROR(VLOOKUP(H300,PostWorkoutTable[],2,FALSE),0)) + (G301 * IFERROR(VLOOKUP(H301,PostWorkoutTable[],2,FALSE),0))</f>
        <v>32.200000000000003</v>
      </c>
      <c r="O298" s="48">
        <f>(G298 * IFERROR(VLOOKUP(H298,PostWorkoutTable[],3,FALSE),0)) + (G299 * IFERROR(VLOOKUP(H299,PostWorkoutTable[],3,FALSE),0)) + (G300 * IFERROR(VLOOKUP(H300,PostWorkoutTable[],3,FALSE),0)) + (G301 * IFERROR(VLOOKUP(H301,PostWorkoutTable[],3,FALSE),0))</f>
        <v>14.9</v>
      </c>
      <c r="P298" s="48">
        <f>(G298 * IFERROR(VLOOKUP(H298,PostWorkoutTable[],4,FALSE),0)) + (G299 * IFERROR(VLOOKUP(H299,PostWorkoutTable[],4,FALSE),0)) + (G300 * IFERROR(VLOOKUP(H300,PostWorkoutTable[],4,FALSE),0)) + (G301 * IFERROR(VLOOKUP(H301,PostWorkoutTable[],4,FALSE),0))</f>
        <v>50.4</v>
      </c>
    </row>
    <row r="299" spans="1:16" x14ac:dyDescent="0.25">
      <c r="A299" s="17"/>
      <c r="B299" s="17"/>
      <c r="C299" s="17"/>
      <c r="D299" s="17"/>
      <c r="E299" s="17">
        <v>0.75</v>
      </c>
      <c r="F299" s="17" t="s">
        <v>79</v>
      </c>
      <c r="G299" s="17"/>
      <c r="H299" s="17"/>
      <c r="I299" s="2">
        <v>1.5</v>
      </c>
      <c r="J299" s="2">
        <v>0</v>
      </c>
      <c r="K299" s="2">
        <v>5</v>
      </c>
      <c r="L299" s="45"/>
      <c r="M299" s="48" t="s">
        <v>21</v>
      </c>
      <c r="N299" s="48">
        <f xml:space="preserve"> SUM(I298:I301)</f>
        <v>40.5</v>
      </c>
      <c r="O299" s="48">
        <f>SUM(J298:J301)</f>
        <v>14</v>
      </c>
      <c r="P299" s="48">
        <f>SUM(K298:K301)</f>
        <v>49</v>
      </c>
    </row>
    <row r="300" spans="1:16" x14ac:dyDescent="0.25">
      <c r="A300" s="17"/>
      <c r="B300" s="17"/>
      <c r="C300" s="17"/>
      <c r="D300" s="17"/>
      <c r="E300" s="17"/>
      <c r="F300" s="17"/>
      <c r="G300" s="17"/>
      <c r="H300" s="17"/>
      <c r="I300" s="2"/>
      <c r="J300" s="2"/>
      <c r="K300" s="2"/>
      <c r="L300" s="45"/>
      <c r="M300" s="48" t="s">
        <v>38</v>
      </c>
      <c r="N300" s="48">
        <f>SUM(N295:N299)</f>
        <v>95.7</v>
      </c>
      <c r="O300" s="48">
        <f>SUM(O295:O299)</f>
        <v>37.9</v>
      </c>
      <c r="P300" s="48">
        <f>SUM(P295:P299)</f>
        <v>204.4</v>
      </c>
    </row>
    <row r="301" spans="1:16" x14ac:dyDescent="0.25">
      <c r="A301" s="17"/>
      <c r="B301" s="17"/>
      <c r="C301" s="17"/>
      <c r="D301" s="17"/>
      <c r="E301" s="17"/>
      <c r="F301" s="17"/>
      <c r="G301" s="17"/>
      <c r="H301" s="17"/>
      <c r="I301" s="2"/>
      <c r="J301" s="2"/>
      <c r="K301" s="2"/>
      <c r="L301" s="45"/>
      <c r="M301" s="45"/>
      <c r="N301" s="45"/>
      <c r="O301" s="45"/>
      <c r="P301" s="45"/>
    </row>
    <row r="302" spans="1:16" x14ac:dyDescent="0.25">
      <c r="A302" s="45"/>
      <c r="B302" s="45"/>
      <c r="C302" s="45"/>
      <c r="D302" s="45"/>
      <c r="E302" s="45"/>
      <c r="F302" s="45"/>
      <c r="G302" s="45"/>
      <c r="H302" s="45"/>
      <c r="I302" s="45"/>
      <c r="J302" s="45"/>
      <c r="K302" s="45"/>
      <c r="L302" s="45"/>
      <c r="M302" s="45"/>
      <c r="N302" s="45"/>
      <c r="O302" s="45"/>
      <c r="P302" s="45"/>
    </row>
    <row r="303" spans="1:16" ht="23.25" x14ac:dyDescent="0.35">
      <c r="A303" s="49">
        <v>43555</v>
      </c>
      <c r="B303" s="45"/>
      <c r="C303" s="45"/>
      <c r="D303" s="45"/>
      <c r="E303" s="45"/>
      <c r="F303" s="45"/>
      <c r="G303" s="45"/>
      <c r="H303" s="45"/>
      <c r="I303" s="45"/>
      <c r="J303" s="45"/>
      <c r="K303" s="45"/>
      <c r="L303" s="45"/>
      <c r="M303" s="45"/>
      <c r="N303" s="45"/>
      <c r="O303" s="45"/>
      <c r="P303" s="45"/>
    </row>
    <row r="304" spans="1:16" ht="18" thickBot="1" x14ac:dyDescent="0.35">
      <c r="A304" s="3" t="s">
        <v>48</v>
      </c>
      <c r="B304" s="3" t="s">
        <v>0</v>
      </c>
      <c r="C304" s="3" t="s">
        <v>36</v>
      </c>
      <c r="D304" s="3" t="s">
        <v>8</v>
      </c>
      <c r="E304" s="5" t="s">
        <v>9</v>
      </c>
      <c r="F304" s="5" t="s">
        <v>10</v>
      </c>
      <c r="G304" s="46"/>
      <c r="H304" s="47"/>
      <c r="I304" s="45"/>
      <c r="J304" s="45"/>
      <c r="K304" s="45"/>
      <c r="L304" s="45"/>
      <c r="M304" s="46"/>
      <c r="N304" s="48" t="s">
        <v>8</v>
      </c>
      <c r="O304" s="48" t="s">
        <v>9</v>
      </c>
      <c r="P304" s="48" t="s">
        <v>10</v>
      </c>
    </row>
    <row r="305" spans="1:16" ht="15.75" thickTop="1" x14ac:dyDescent="0.25">
      <c r="A305" s="18">
        <v>43549</v>
      </c>
      <c r="B305" s="16">
        <f>IFERROR(VLOOKUP(A305,OverviewTable[],2,FALSE),"?")</f>
        <v>130</v>
      </c>
      <c r="C305" s="16" t="str">
        <f>((N310 * 4) + (O310 * 9) + (P310 * 4))&amp;"/"&amp;IFERROR(VLOOKUP(A305,OverviewTable[],11,FALSE),"?")</f>
        <v>1166.9/2330</v>
      </c>
      <c r="D305" s="16" t="str">
        <f>N310&amp;"/"&amp;IFERROR(VLOOKUP(A305,OverviewTable[],12,FALSE),"?")</f>
        <v>77.7/130</v>
      </c>
      <c r="E305" s="16" t="str">
        <f>O310&amp;"/"&amp;IFERROR(VLOOKUP(A305,OverviewTable[],13,FALSE),"?")</f>
        <v>19.7/65</v>
      </c>
      <c r="F305" s="16" t="str">
        <f>P310&amp;"/"&amp;IFERROR(VLOOKUP(A305,OverviewTable[],14,FALSE),"?")</f>
        <v>169.7/306</v>
      </c>
      <c r="G305" s="47"/>
      <c r="H305" s="47"/>
      <c r="I305" s="45"/>
      <c r="J305" s="45"/>
      <c r="K305" s="45"/>
      <c r="L305" s="45"/>
      <c r="M305" s="48" t="s">
        <v>6</v>
      </c>
      <c r="N305" s="48">
        <f>(A308 * IFERROR(VLOOKUP(B308,BreakfastTable[],2,FALSE),0)) + (A309 * IFERROR(VLOOKUP(B309,BreakfastTable[],2,FALSE),0)) + (A310 * IFERROR(VLOOKUP(B310,BreakfastTable[],2,FALSE),0)) + (A311 * IFERROR(VLOOKUP(B311,BreakfastTable[],2,FALSE),0))</f>
        <v>20</v>
      </c>
      <c r="O305" s="48">
        <f>(A308 * IFERROR(VLOOKUP(B308,BreakfastTable[],3,FALSE),0)) + (A309 * IFERROR(VLOOKUP(B309,BreakfastTable[],3,FALSE),0)) + (A310 * IFERROR(VLOOKUP(B310,BreakfastTable[],3,FALSE),0)) + (A311 * IFERROR(VLOOKUP(B311,BreakfastTable[],3,FALSE),0))</f>
        <v>9</v>
      </c>
      <c r="P305" s="48">
        <f>(A308 * IFERROR(VLOOKUP(B308,BreakfastTable[],4,FALSE),0)) + (A309 * IFERROR(VLOOKUP(B309,BreakfastTable[],4,FALSE),0)) + (A310 * IFERROR(VLOOKUP(B310,BreakfastTable[],4,FALSE),0)) + (A311 * IFERROR(VLOOKUP(B311,BreakfastTable[],4,FALSE),0))</f>
        <v>30</v>
      </c>
    </row>
    <row r="306" spans="1:16" x14ac:dyDescent="0.25">
      <c r="A306" s="17"/>
      <c r="B306" s="17"/>
      <c r="C306" s="17"/>
      <c r="D306" s="17"/>
      <c r="E306" s="17"/>
      <c r="F306" s="17"/>
      <c r="G306" s="47"/>
      <c r="H306" s="47"/>
      <c r="I306" s="45"/>
      <c r="J306" s="45"/>
      <c r="K306" s="45"/>
      <c r="L306" s="45"/>
      <c r="M306" s="48" t="s">
        <v>11</v>
      </c>
      <c r="N306" s="48">
        <f>(C308 * IFERROR(VLOOKUP(D308,LunchTable[],2,FALSE),0)) + (C309 * IFERROR(VLOOKUP(D309,LunchTable[],2,FALSE),0)) + (C310 * IFERROR(VLOOKUP(D310,LunchTable[],2,FALSE),0)) + (C311 * IFERROR(VLOOKUP(D311,LunchTable[],2,FALSE),0))</f>
        <v>23</v>
      </c>
      <c r="O306" s="48">
        <f>(C308 * IFERROR(VLOOKUP(D308,LunchTable[],3,FALSE),0)) + (C309 * IFERROR(VLOOKUP(D309,LunchTable[],3,FALSE),0)) + (C310 * IFERROR(VLOOKUP(D310,LunchTable[],3,FALSE),0)) + (C311 * IFERROR(VLOOKUP(D311,LunchTable[],3,FALSE),0))</f>
        <v>9</v>
      </c>
      <c r="P306" s="48">
        <f>(C308 * IFERROR(VLOOKUP(D308,LunchTable[],4,FALSE),0)) + (C309 * IFERROR(VLOOKUP(D309,LunchTable[],4,FALSE),0)) + (C310 * IFERROR(VLOOKUP(D310,LunchTable[],4,FALSE),0)) + (C311 * IFERROR(VLOOKUP(D311,LunchTable[],4,FALSE),0))</f>
        <v>105</v>
      </c>
    </row>
    <row r="307" spans="1:16" ht="18" thickBot="1" x14ac:dyDescent="0.35">
      <c r="A307" s="10" t="s">
        <v>34</v>
      </c>
      <c r="B307" s="11" t="s">
        <v>6</v>
      </c>
      <c r="C307" s="10" t="s">
        <v>34</v>
      </c>
      <c r="D307" s="11" t="s">
        <v>11</v>
      </c>
      <c r="E307" s="10" t="s">
        <v>34</v>
      </c>
      <c r="F307" s="11" t="s">
        <v>12</v>
      </c>
      <c r="G307" s="10" t="s">
        <v>34</v>
      </c>
      <c r="H307" s="12" t="s">
        <v>35</v>
      </c>
      <c r="I307" s="5" t="s">
        <v>41</v>
      </c>
      <c r="J307" s="5" t="s">
        <v>42</v>
      </c>
      <c r="K307" s="5" t="s">
        <v>43</v>
      </c>
      <c r="L307" s="45"/>
      <c r="M307" s="48" t="s">
        <v>12</v>
      </c>
      <c r="N307" s="48">
        <f>(E308 * IFERROR(VLOOKUP(F308,DinnerTable[],2,FALSE),0)) + (E309 * IFERROR(VLOOKUP(F309,DinnerTable[],2,FALSE),0)) + (E310 * IFERROR(VLOOKUP(F310,DinnerTable[],2,FALSE),0)) + (E311 * IFERROR(VLOOKUP(F311,DinnerTable[],2,FALSE),0))</f>
        <v>0</v>
      </c>
      <c r="O307" s="48">
        <f>(E308 * IFERROR(VLOOKUP(F308,DinnerTable[],3,FALSE),0)) + (E309 * IFERROR(VLOOKUP(F309,DinnerTable[],3,FALSE),0)) + (E310 * IFERROR(VLOOKUP(F310,DinnerTable[],3,FALSE),0)) + (E311 * IFERROR(VLOOKUP(F311,DinnerTable[],3,FALSE),0))</f>
        <v>0</v>
      </c>
      <c r="P307" s="48">
        <f>(E308 * IFERROR(VLOOKUP(F308,DinnerTable[],4,FALSE),0)) + (E309 * IFERROR(VLOOKUP(F309,DinnerTable[],4,FALSE),0)) + (E310 * IFERROR(VLOOKUP(F310,DinnerTable[],4,FALSE),0)) + (E311 * IFERROR(VLOOKUP(F311,DinnerTable[],4,FALSE),0))</f>
        <v>0</v>
      </c>
    </row>
    <row r="308" spans="1:16" ht="15.75" thickTop="1" x14ac:dyDescent="0.25">
      <c r="A308" s="17">
        <v>1</v>
      </c>
      <c r="B308" s="17" t="s">
        <v>26</v>
      </c>
      <c r="C308" s="17">
        <v>2</v>
      </c>
      <c r="D308" s="17" t="s">
        <v>29</v>
      </c>
      <c r="E308" s="17"/>
      <c r="F308" s="17"/>
      <c r="G308" s="17"/>
      <c r="H308" s="17"/>
      <c r="I308" s="2">
        <v>29.9</v>
      </c>
      <c r="J308" s="2">
        <v>1.7</v>
      </c>
      <c r="K308" s="2">
        <v>0.4</v>
      </c>
      <c r="L308" s="45"/>
      <c r="M308" s="48" t="s">
        <v>35</v>
      </c>
      <c r="N308" s="48">
        <f>(G308 * IFERROR(VLOOKUP(H308,PostWorkoutTable[],2,FALSE),0)) + (G309 * IFERROR(VLOOKUP(H309,PostWorkoutTable[],2,FALSE),0)) + (G310 * IFERROR(VLOOKUP(H310,PostWorkoutTable[],2,FALSE),0)) + (G311 * IFERROR(VLOOKUP(H311,PostWorkoutTable[],2,FALSE),0))</f>
        <v>0</v>
      </c>
      <c r="O308" s="48">
        <f>(G308 * IFERROR(VLOOKUP(H308,PostWorkoutTable[],3,FALSE),0)) + (G309 * IFERROR(VLOOKUP(H309,PostWorkoutTable[],3,FALSE),0)) + (G310 * IFERROR(VLOOKUP(H310,PostWorkoutTable[],3,FALSE),0)) + (G311 * IFERROR(VLOOKUP(H311,PostWorkoutTable[],3,FALSE),0))</f>
        <v>0</v>
      </c>
      <c r="P308" s="48">
        <f>(G308 * IFERROR(VLOOKUP(H308,PostWorkoutTable[],4,FALSE),0)) + (G309 * IFERROR(VLOOKUP(H309,PostWorkoutTable[],4,FALSE),0)) + (G310 * IFERROR(VLOOKUP(H310,PostWorkoutTable[],4,FALSE),0)) + (G311 * IFERROR(VLOOKUP(H311,PostWorkoutTable[],4,FALSE),0))</f>
        <v>0</v>
      </c>
    </row>
    <row r="309" spans="1:16" x14ac:dyDescent="0.25">
      <c r="A309" s="17"/>
      <c r="B309" s="17"/>
      <c r="C309" s="17">
        <v>0.75</v>
      </c>
      <c r="D309" s="17" t="s">
        <v>79</v>
      </c>
      <c r="E309" s="17"/>
      <c r="F309" s="17"/>
      <c r="G309" s="17"/>
      <c r="H309" s="17"/>
      <c r="I309" s="2">
        <v>3.3</v>
      </c>
      <c r="J309" s="2">
        <v>0</v>
      </c>
      <c r="K309" s="2">
        <v>29.3</v>
      </c>
      <c r="L309" s="45"/>
      <c r="M309" s="48" t="s">
        <v>21</v>
      </c>
      <c r="N309" s="48">
        <f xml:space="preserve"> SUM(I308:I311)</f>
        <v>34.699999999999996</v>
      </c>
      <c r="O309" s="48">
        <f>SUM(J308:J311)</f>
        <v>1.7</v>
      </c>
      <c r="P309" s="48">
        <f>SUM(K308:K311)</f>
        <v>34.700000000000003</v>
      </c>
    </row>
    <row r="310" spans="1:16" x14ac:dyDescent="0.25">
      <c r="A310" s="17"/>
      <c r="B310" s="17"/>
      <c r="C310" s="17"/>
      <c r="D310" s="17"/>
      <c r="E310" s="17"/>
      <c r="F310" s="17"/>
      <c r="G310" s="17"/>
      <c r="H310" s="17"/>
      <c r="I310" s="2">
        <v>1.5</v>
      </c>
      <c r="J310" s="2">
        <v>0</v>
      </c>
      <c r="K310" s="2">
        <v>5</v>
      </c>
      <c r="L310" s="45"/>
      <c r="M310" s="48" t="s">
        <v>38</v>
      </c>
      <c r="N310" s="48">
        <f>SUM(N305:N309)</f>
        <v>77.699999999999989</v>
      </c>
      <c r="O310" s="48">
        <f>SUM(O305:O309)</f>
        <v>19.7</v>
      </c>
      <c r="P310" s="48">
        <f>SUM(P305:P309)</f>
        <v>169.7</v>
      </c>
    </row>
    <row r="311" spans="1:16" x14ac:dyDescent="0.25">
      <c r="A311" s="17"/>
      <c r="B311" s="17"/>
      <c r="C311" s="17"/>
      <c r="D311" s="17"/>
      <c r="E311" s="17"/>
      <c r="F311" s="17"/>
      <c r="G311" s="17"/>
      <c r="H311" s="17"/>
      <c r="I311" s="2"/>
      <c r="J311" s="2"/>
      <c r="K311" s="2"/>
      <c r="L311" s="45"/>
      <c r="M311" s="45"/>
      <c r="N311" s="45"/>
      <c r="O311" s="45"/>
      <c r="P311" s="45"/>
    </row>
    <row r="1048576" spans="1:3" x14ac:dyDescent="0.25">
      <c r="A1048576">
        <f>SUM(A8:A1048575)</f>
        <v>2612374</v>
      </c>
      <c r="C1048576">
        <f>SUM(C1:C1048575)</f>
        <v>58.649999999999991</v>
      </c>
    </row>
  </sheetData>
  <dataValidations count="6">
    <dataValidation type="list" allowBlank="1" showInputMessage="1" showErrorMessage="1" sqref="A35 A15 A25 A5 A45 A55 A65 A75 A85 A95 A105 A115 A125 A135 A145 A155 A165 A175 A185 A195 A205 A215 A225 A235 A245 A255 A265 A275 A285 A295 A305" xr:uid="{5F9597B7-A5B7-4584-B903-743E5500D9B4}">
      <formula1 xml:space="preserve"> OverviewWeekRange</formula1>
    </dataValidation>
    <dataValidation type="list" allowBlank="1" showInputMessage="1" showErrorMessage="1" sqref="B8:B11 B18:B21 B28:B31 B38:B41 B48:B51 B58:B61 B68:B71 B78:B81 B88:B91 B98:B101 B108:B111 B118:B121 B128:B131 B138:B141 B148:B151 B158:B161 B168:B171 B178:B181 B188:B191 B198:B201 B248:B251 B218:B221 B228:B231 B238:B241 B208:B211 B258:B261 B268:B271 B278:B281 B288:B291 B298:B301 B308:B311" xr:uid="{D87AD3B7-795A-4304-8902-754BD82DD807}">
      <formula1>BreakfastMealRange</formula1>
    </dataValidation>
    <dataValidation type="list" allowBlank="1" showInputMessage="1" showErrorMessage="1" sqref="D8:D11 D18:D21 D38:D41 D31 D48:D51 D58:D61 D68:D71 D78:D81 D88:D91 D98:D101 D108:D111 D128:D131 D121 D138:D141 D148:D151 D158:D161 D168:D171 D178:D181 D188:D191 D198:D201 D248:D251 D218:D221 D228:D231 D238:D241 D280:D281 D268:D271 D258:D261 D288:D291 D298:D301 D310:D311" xr:uid="{5A66B77E-87DC-4EAF-9B1A-6DCCC88BFEBB}">
      <formula1>LunchMealRange</formula1>
    </dataValidation>
    <dataValidation type="list" allowBlank="1" showInputMessage="1" showErrorMessage="1" sqref="F8:F11 F18:F21 F28:F31 F38:F41 D28:D30 F48:F51 F58:F61 F68:F71 F78:F81 F88:F91 F98:F101 F108:F111 F118:F121 F128:F131 D118:D120 F138:F141 F148:F151 F158:F161 F168:F171 F178:F181 F188:F191 F198:F201 F208:F211 F218:F221 D208:D211 F238:F241 F248:F251 F228:F231 F308:F311 F268:F271 F278:F281 F288:F291 F298:F301 F258:F261 D278:D279 D308:D309" xr:uid="{86C1B250-B9F4-45A4-89AB-3E05292CEA4A}">
      <formula1>DinnerMealRange</formula1>
    </dataValidation>
    <dataValidation type="list" allowBlank="1" showInputMessage="1" showErrorMessage="1" sqref="H8:H11 H18:H21 H28:H31 H38:H41 H48:H51 H58:H61 H68:H71 H78:H81 H88:H91 H98:H101 H108:H111 H118:H121 H128:H131 H138:H141 H148:H151 H158:H161 H168:H171 H178:H181 H188:H191 H198:H201 H208:H211 H218:H221 H228:H231 H238:H241 H248:H251 H258:H261 H268:H271 H278:H281 H288:H291 H298:H301 H308:H311" xr:uid="{25EC8528-1AD4-403C-80CC-B6D7C611DF27}">
      <formula1>PostWorkoutMealRange</formula1>
    </dataValidation>
    <dataValidation type="list" allowBlank="1" showInputMessage="1" showErrorMessage="1" sqref="C18:C21 C8:C11 E8:E11 G8:G11 E18:E21 G18:G21 A18:A21 A8:A11 A38:A41 E28:E31 G28:G31 A28:A31 C38:C41 E38:E41 G38:G41 C28:C31 A48:A51 C48:C51 E48:E51 G48:G51 A58:A61 C58:C61 E58:E61 G58:G61 A68:A71 C68:C71 E68:E71 G68:G71 A78:A81 C78:C81 E78:E81 G78:G81 A88:A91 C88:C91 E88:E91 G88:G91 A98:A101 C98:C101 E98:E101 G98:G101 A108:A111 C108:C111 E108:E111 G108:G111 A118:A121 G128:G131 E118:E121 G118:G121 A128:A131 C128:C131 E128:E131 C118:C121 G138:G141 A138:A141 C138:C141 E138:E141 G148:G151 A148:A151 C148:C151 E148:E151 G158:G161 A158:A161 C158:C161 E158:E161 G168:G171 A168:A171 C168:C171 E168:E171 G178:G181 A178:A181 C178:C181 E178:E181 G188:G191 A188:A191 C188:C191 E188:E191 G198:G201 A198:A201 C198:C201 E198:E201 G208:G211 E248:E251 A208:A211 E208:E211 G218:G221 A218:A221 C218:C221 E218:E221 G228:G231 A228:A231 C228:C231 C208:C211 G238:G241 A238:A241 C238:C241 E238:E241 G248:G251 A248:A251 C248:C251 E228:E231 C258:C261 G258:G261 A258:A261 C278:C281 E268:E271 G268:G271 A268:A271 C268:C271 E278:E281 G278:G281 A278:A281 E258:E261 E288:E291 G288:G291 A288:A291 C288:C291 E298:E301 G298:G301 A298:A301 C298:C301 E308:E311 G308:G311 A308:A311 C308:C311" xr:uid="{C56D6AF6-EBB9-4EC2-8636-6569172BFC9D}">
      <formula1 xml:space="preserve"> AmountRange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EC238-D2C9-428B-84DD-ADD282F5332B}">
  <sheetPr codeName="Sheet9"/>
  <dimension ref="A1:P1048576"/>
  <sheetViews>
    <sheetView topLeftCell="A271" zoomScaleNormal="100" workbookViewId="0">
      <selection activeCell="G304" sqref="G304"/>
    </sheetView>
  </sheetViews>
  <sheetFormatPr defaultRowHeight="15" x14ac:dyDescent="0.25"/>
  <cols>
    <col min="1" max="8" width="25.7109375" customWidth="1"/>
    <col min="9" max="11" width="18.7109375" customWidth="1"/>
    <col min="12" max="12" width="9.140625" customWidth="1"/>
    <col min="13" max="13" width="13.5703125" customWidth="1"/>
    <col min="14" max="14" width="10.7109375" customWidth="1"/>
    <col min="15" max="15" width="9.7109375" customWidth="1"/>
  </cols>
  <sheetData>
    <row r="1" spans="1:16" ht="23.25" x14ac:dyDescent="0.35">
      <c r="A1" s="55" t="s">
        <v>39</v>
      </c>
      <c r="B1" s="55"/>
      <c r="C1" s="55"/>
      <c r="D1" s="55"/>
      <c r="E1" s="55"/>
      <c r="F1" s="51"/>
      <c r="G1" s="51"/>
      <c r="H1" s="51"/>
      <c r="I1" s="51"/>
      <c r="J1" s="51"/>
      <c r="K1" s="51"/>
      <c r="L1" s="51"/>
      <c r="M1" s="51"/>
      <c r="N1" s="51"/>
      <c r="O1" s="51"/>
      <c r="P1" s="51"/>
    </row>
    <row r="2" spans="1:16" x14ac:dyDescent="0.25">
      <c r="A2" s="51"/>
      <c r="B2" s="51"/>
      <c r="C2" s="51"/>
      <c r="D2" s="51"/>
      <c r="E2" s="51"/>
      <c r="F2" s="51"/>
      <c r="G2" s="51"/>
      <c r="H2" s="51"/>
      <c r="I2" s="51"/>
      <c r="J2" s="51"/>
      <c r="K2" s="51"/>
      <c r="L2" s="51"/>
      <c r="M2" s="51"/>
      <c r="N2" s="51"/>
      <c r="O2" s="51"/>
      <c r="P2" s="51"/>
    </row>
    <row r="3" spans="1:16" ht="23.25" x14ac:dyDescent="0.35">
      <c r="A3" s="56">
        <v>43556</v>
      </c>
      <c r="B3" s="55"/>
      <c r="C3" s="55"/>
      <c r="D3" s="55"/>
      <c r="E3" s="55"/>
      <c r="F3" s="51"/>
      <c r="G3" s="51"/>
      <c r="H3" s="51"/>
      <c r="I3" s="51"/>
      <c r="J3" s="51"/>
      <c r="K3" s="51"/>
      <c r="L3" s="51"/>
      <c r="M3" s="51"/>
      <c r="N3" s="51"/>
      <c r="O3" s="51"/>
      <c r="P3" s="51"/>
    </row>
    <row r="4" spans="1:16" ht="18" thickBot="1" x14ac:dyDescent="0.35">
      <c r="A4" s="3" t="s">
        <v>48</v>
      </c>
      <c r="B4" s="3" t="s">
        <v>0</v>
      </c>
      <c r="C4" s="3" t="s">
        <v>36</v>
      </c>
      <c r="D4" s="3" t="s">
        <v>8</v>
      </c>
      <c r="E4" s="5" t="s">
        <v>9</v>
      </c>
      <c r="F4" s="5" t="s">
        <v>10</v>
      </c>
      <c r="G4" s="52"/>
      <c r="H4" s="53"/>
      <c r="I4" s="51"/>
      <c r="J4" s="51"/>
      <c r="K4" s="51"/>
      <c r="L4" s="51"/>
      <c r="M4" s="52"/>
      <c r="N4" s="54" t="s">
        <v>8</v>
      </c>
      <c r="O4" s="54" t="s">
        <v>9</v>
      </c>
      <c r="P4" s="54" t="s">
        <v>10</v>
      </c>
    </row>
    <row r="5" spans="1:16" ht="15.75" thickTop="1" x14ac:dyDescent="0.25">
      <c r="A5" s="18">
        <v>43556</v>
      </c>
      <c r="B5" s="16">
        <f>IFERROR(VLOOKUP(A5,OverviewTable[],2,FALSE),"?")</f>
        <v>130</v>
      </c>
      <c r="C5" s="16" t="str">
        <f>((N10 * 4) + (O10 * 9) + (P10 * 4))&amp;"/"&amp;IFERROR(VLOOKUP(A5,OverviewTable[],11,FALSE),"?")</f>
        <v>1733.25/2330</v>
      </c>
      <c r="D5" s="16" t="str">
        <f>N10&amp;"/"&amp;IFERROR(VLOOKUP(A5,OverviewTable[],12,FALSE),"?")</f>
        <v>166.2/130</v>
      </c>
      <c r="E5" s="16" t="str">
        <f>O10&amp;"/"&amp;IFERROR(VLOOKUP(A5,OverviewTable[],13,FALSE),"?")</f>
        <v>51.65/65</v>
      </c>
      <c r="F5" s="16" t="str">
        <f>P10&amp;"/"&amp;IFERROR(VLOOKUP(A5,OverviewTable[],14,FALSE),"?")</f>
        <v>150.9/306</v>
      </c>
      <c r="G5" s="53"/>
      <c r="H5" s="53"/>
      <c r="I5" s="51"/>
      <c r="J5" s="51"/>
      <c r="K5" s="51"/>
      <c r="L5" s="51"/>
      <c r="M5" s="54" t="s">
        <v>6</v>
      </c>
      <c r="N5" s="54">
        <f>(A8 * IFERROR(VLOOKUP(B8,BreakfastTable[],2,FALSE),0)) + (A9 * IFERROR(VLOOKUP(B9,BreakfastTable[],2,FALSE),0)) + (A10 * IFERROR(VLOOKUP(B10,BreakfastTable[],2,FALSE),0)) + (A11 * IFERROR(VLOOKUP(B11,BreakfastTable[],2,FALSE),0))</f>
        <v>32.200000000000003</v>
      </c>
      <c r="O5" s="54">
        <f>(A8 * IFERROR(VLOOKUP(B8,BreakfastTable[],3,FALSE),0)) + (A9 * IFERROR(VLOOKUP(B9,BreakfastTable[],3,FALSE),0)) + (A10 * IFERROR(VLOOKUP(B10,BreakfastTable[],3,FALSE),0)) + (A11 * IFERROR(VLOOKUP(B11,BreakfastTable[],3,FALSE),0))</f>
        <v>14.9</v>
      </c>
      <c r="P5" s="54">
        <f>(A8 * IFERROR(VLOOKUP(B8,BreakfastTable[],4,FALSE),0)) + (A9 * IFERROR(VLOOKUP(B9,BreakfastTable[],4,FALSE),0)) + (A10 * IFERROR(VLOOKUP(B10,BreakfastTable[],4,FALSE),0)) + (A11 * IFERROR(VLOOKUP(B11,BreakfastTable[],4,FALSE),0))</f>
        <v>50.4</v>
      </c>
    </row>
    <row r="6" spans="1:16" x14ac:dyDescent="0.25">
      <c r="A6" s="17"/>
      <c r="B6" s="17"/>
      <c r="C6" s="17"/>
      <c r="D6" s="17"/>
      <c r="E6" s="17"/>
      <c r="F6" s="17"/>
      <c r="G6" s="53"/>
      <c r="H6" s="53"/>
      <c r="I6" s="51"/>
      <c r="J6" s="51"/>
      <c r="K6" s="51"/>
      <c r="L6" s="51"/>
      <c r="M6" s="54" t="s">
        <v>11</v>
      </c>
      <c r="N6" s="54">
        <f>(C8 * IFERROR(VLOOKUP(D8,LunchTable[],2,FALSE),0)) + (C9 * IFERROR(VLOOKUP(D9,LunchTable[],2,FALSE),0)) + (C10 * IFERROR(VLOOKUP(D10,LunchTable[],2,FALSE),0)) + (C11 * IFERROR(VLOOKUP(D11,LunchTable[],2,FALSE),0))</f>
        <v>51</v>
      </c>
      <c r="O6" s="54">
        <f>(C8 * IFERROR(VLOOKUP(D8,LunchTable[],3,FALSE),0)) + (C9 * IFERROR(VLOOKUP(D9,LunchTable[],3,FALSE),0)) + (C10 * IFERROR(VLOOKUP(D10,LunchTable[],3,FALSE),0)) + (C11 * IFERROR(VLOOKUP(D11,LunchTable[],3,FALSE),0))</f>
        <v>15</v>
      </c>
      <c r="P6" s="54">
        <f>(C8 * IFERROR(VLOOKUP(D8,LunchTable[],4,FALSE),0)) + (C9 * IFERROR(VLOOKUP(D9,LunchTable[],4,FALSE),0)) + (C10 * IFERROR(VLOOKUP(D10,LunchTable[],4,FALSE),0)) + (C11 * IFERROR(VLOOKUP(D11,LunchTable[],4,FALSE),0))</f>
        <v>63</v>
      </c>
    </row>
    <row r="7" spans="1:16" ht="18" thickBot="1" x14ac:dyDescent="0.35">
      <c r="A7" s="10" t="s">
        <v>34</v>
      </c>
      <c r="B7" s="11" t="s">
        <v>6</v>
      </c>
      <c r="C7" s="10" t="s">
        <v>34</v>
      </c>
      <c r="D7" s="11" t="s">
        <v>11</v>
      </c>
      <c r="E7" s="10" t="s">
        <v>34</v>
      </c>
      <c r="F7" s="11" t="s">
        <v>12</v>
      </c>
      <c r="G7" s="10" t="s">
        <v>34</v>
      </c>
      <c r="H7" s="12" t="s">
        <v>35</v>
      </c>
      <c r="I7" s="5" t="s">
        <v>41</v>
      </c>
      <c r="J7" s="5" t="s">
        <v>42</v>
      </c>
      <c r="K7" s="5" t="s">
        <v>43</v>
      </c>
      <c r="L7" s="51"/>
      <c r="M7" s="54" t="s">
        <v>12</v>
      </c>
      <c r="N7" s="54">
        <f>(E8 * IFERROR(VLOOKUP(F8,DinnerTable[],2,FALSE),0)) + (E9 * IFERROR(VLOOKUP(F9,DinnerTable[],2,FALSE),0)) + (E10 * IFERROR(VLOOKUP(F10,DinnerTable[],2,FALSE),0)) + (E11 * IFERROR(VLOOKUP(F11,DinnerTable[],2,FALSE),0))</f>
        <v>61.5</v>
      </c>
      <c r="O7" s="54">
        <f>(E8 * IFERROR(VLOOKUP(F8,DinnerTable[],3,FALSE),0)) + (E9 * IFERROR(VLOOKUP(F9,DinnerTable[],3,FALSE),0)) + (E10 * IFERROR(VLOOKUP(F10,DinnerTable[],3,FALSE),0)) + (E11 * IFERROR(VLOOKUP(F11,DinnerTable[],3,FALSE),0))</f>
        <v>12.75</v>
      </c>
      <c r="P7" s="54">
        <f>(E8 * IFERROR(VLOOKUP(F8,DinnerTable[],4,FALSE),0)) + (E9 * IFERROR(VLOOKUP(F9,DinnerTable[],4,FALSE),0)) + (E10 * IFERROR(VLOOKUP(F10,DinnerTable[],4,FALSE),0)) + (E11 * IFERROR(VLOOKUP(F11,DinnerTable[],4,FALSE),0))</f>
        <v>2.5</v>
      </c>
    </row>
    <row r="8" spans="1:16" ht="15.75" thickTop="1" x14ac:dyDescent="0.25">
      <c r="A8" s="17">
        <v>1</v>
      </c>
      <c r="B8" s="17" t="s">
        <v>96</v>
      </c>
      <c r="C8" s="17">
        <v>0.25</v>
      </c>
      <c r="D8" s="17" t="s">
        <v>51</v>
      </c>
      <c r="E8" s="17">
        <v>0.5</v>
      </c>
      <c r="F8" s="17" t="s">
        <v>53</v>
      </c>
      <c r="G8" s="17">
        <v>1</v>
      </c>
      <c r="H8" s="17" t="s">
        <v>26</v>
      </c>
      <c r="I8" s="2">
        <v>1.5</v>
      </c>
      <c r="J8" s="2">
        <v>0</v>
      </c>
      <c r="K8" s="2">
        <v>5</v>
      </c>
      <c r="L8" s="51"/>
      <c r="M8" s="54" t="s">
        <v>35</v>
      </c>
      <c r="N8" s="54">
        <f>(G8 * IFERROR(VLOOKUP(H8,PostWorkoutTable[],2,FALSE),0)) + (G9 * IFERROR(VLOOKUP(H9,PostWorkoutTable[],2,FALSE),0)) + (G10 * IFERROR(VLOOKUP(H10,PostWorkoutTable[],2,FALSE),0)) + (G11 * IFERROR(VLOOKUP(H11,PostWorkoutTable[],2,FALSE),0))</f>
        <v>20</v>
      </c>
      <c r="O8" s="54">
        <f>(G8 * IFERROR(VLOOKUP(H8,PostWorkoutTable[],3,FALSE),0)) + (G9 * IFERROR(VLOOKUP(H9,PostWorkoutTable[],3,FALSE),0)) + (G10 * IFERROR(VLOOKUP(H10,PostWorkoutTable[],3,FALSE),0)) + (G11 * IFERROR(VLOOKUP(H11,PostWorkoutTable[],3,FALSE),0))</f>
        <v>9</v>
      </c>
      <c r="P8" s="54">
        <f>(G8 * IFERROR(VLOOKUP(H8,PostWorkoutTable[],4,FALSE),0)) + (G9 * IFERROR(VLOOKUP(H9,PostWorkoutTable[],4,FALSE),0)) + (G10 * IFERROR(VLOOKUP(H10,PostWorkoutTable[],4,FALSE),0)) + (G11 * IFERROR(VLOOKUP(H11,PostWorkoutTable[],4,FALSE),0))</f>
        <v>30</v>
      </c>
    </row>
    <row r="9" spans="1:16" x14ac:dyDescent="0.25">
      <c r="A9" s="17"/>
      <c r="B9" s="17"/>
      <c r="C9" s="17">
        <v>0.25</v>
      </c>
      <c r="D9" s="17" t="s">
        <v>52</v>
      </c>
      <c r="E9" s="17">
        <v>2</v>
      </c>
      <c r="F9" s="17" t="s">
        <v>29</v>
      </c>
      <c r="G9" s="17"/>
      <c r="H9" s="17"/>
      <c r="I9" s="2"/>
      <c r="J9" s="2"/>
      <c r="K9" s="2"/>
      <c r="L9" s="51"/>
      <c r="M9" s="54" t="s">
        <v>21</v>
      </c>
      <c r="N9" s="54">
        <f xml:space="preserve"> SUM(I8:I11)</f>
        <v>1.5</v>
      </c>
      <c r="O9" s="54">
        <f>SUM(J8:J11)</f>
        <v>0</v>
      </c>
      <c r="P9" s="54">
        <f>SUM(K8:K11)</f>
        <v>5</v>
      </c>
    </row>
    <row r="10" spans="1:16" x14ac:dyDescent="0.25">
      <c r="A10" s="17"/>
      <c r="B10" s="17"/>
      <c r="C10" s="17">
        <v>1</v>
      </c>
      <c r="D10" s="17" t="s">
        <v>90</v>
      </c>
      <c r="E10" s="17"/>
      <c r="F10" s="17"/>
      <c r="G10" s="17"/>
      <c r="H10" s="17"/>
      <c r="I10" s="2"/>
      <c r="J10" s="2"/>
      <c r="K10" s="2"/>
      <c r="L10" s="51"/>
      <c r="M10" s="54" t="s">
        <v>38</v>
      </c>
      <c r="N10" s="54">
        <f>SUM(N5:N9)</f>
        <v>166.2</v>
      </c>
      <c r="O10" s="54">
        <f>SUM(O5:O9)</f>
        <v>51.65</v>
      </c>
      <c r="P10" s="54">
        <f>SUM(P5:P9)</f>
        <v>150.9</v>
      </c>
    </row>
    <row r="11" spans="1:16" x14ac:dyDescent="0.25">
      <c r="A11" s="17"/>
      <c r="B11" s="17"/>
      <c r="C11" s="17">
        <v>1</v>
      </c>
      <c r="D11" s="17" t="s">
        <v>23</v>
      </c>
      <c r="E11" s="17"/>
      <c r="F11" s="17"/>
      <c r="G11" s="17"/>
      <c r="H11" s="17"/>
      <c r="I11" s="2"/>
      <c r="J11" s="2"/>
      <c r="K11" s="2"/>
      <c r="L11" s="51"/>
      <c r="M11" s="51"/>
      <c r="N11" s="51"/>
      <c r="O11" s="51"/>
      <c r="P11" s="51"/>
    </row>
    <row r="12" spans="1:16" x14ac:dyDescent="0.25">
      <c r="A12" s="51"/>
      <c r="B12" s="51"/>
      <c r="C12" s="51"/>
      <c r="D12" s="51"/>
      <c r="E12" s="51"/>
      <c r="F12" s="51"/>
      <c r="G12" s="51"/>
      <c r="H12" s="51"/>
      <c r="I12" s="51">
        <f>SUM(I8:I11)</f>
        <v>1.5</v>
      </c>
      <c r="J12" s="51">
        <f>SUM(J8:J11)</f>
        <v>0</v>
      </c>
      <c r="K12" s="51">
        <f>SUM(K8:K11)</f>
        <v>5</v>
      </c>
      <c r="L12" s="51"/>
      <c r="M12" s="51"/>
      <c r="N12" s="51"/>
      <c r="O12" s="51"/>
      <c r="P12" s="51"/>
    </row>
    <row r="13" spans="1:16" ht="23.25" x14ac:dyDescent="0.35">
      <c r="A13" s="56">
        <v>43557</v>
      </c>
      <c r="B13" s="55"/>
      <c r="C13" s="55"/>
      <c r="D13" s="55"/>
      <c r="E13" s="55"/>
      <c r="F13" s="51"/>
      <c r="G13" s="51"/>
      <c r="H13" s="51"/>
      <c r="I13" s="51"/>
      <c r="J13" s="51"/>
      <c r="K13" s="51"/>
      <c r="L13" s="51"/>
      <c r="M13" s="51"/>
      <c r="N13" s="51"/>
      <c r="O13" s="51"/>
      <c r="P13" s="51"/>
    </row>
    <row r="14" spans="1:16" ht="18" thickBot="1" x14ac:dyDescent="0.35">
      <c r="A14" s="3" t="s">
        <v>48</v>
      </c>
      <c r="B14" s="3" t="s">
        <v>0</v>
      </c>
      <c r="C14" s="3" t="s">
        <v>36</v>
      </c>
      <c r="D14" s="3" t="s">
        <v>8</v>
      </c>
      <c r="E14" s="5" t="s">
        <v>9</v>
      </c>
      <c r="F14" s="5" t="s">
        <v>10</v>
      </c>
      <c r="G14" s="52"/>
      <c r="H14" s="53"/>
      <c r="I14" s="51"/>
      <c r="J14" s="51"/>
      <c r="K14" s="51"/>
      <c r="L14" s="51"/>
      <c r="M14" s="52"/>
      <c r="N14" s="54" t="s">
        <v>8</v>
      </c>
      <c r="O14" s="54" t="s">
        <v>9</v>
      </c>
      <c r="P14" s="54" t="s">
        <v>10</v>
      </c>
    </row>
    <row r="15" spans="1:16" ht="15.75" thickTop="1" x14ac:dyDescent="0.25">
      <c r="A15" s="18">
        <v>43556</v>
      </c>
      <c r="B15" s="16">
        <f>IFERROR(VLOOKUP(A15,OverviewTable[],2,FALSE),"?")</f>
        <v>130</v>
      </c>
      <c r="C15" s="16" t="str">
        <f>((N20 * 4) + (O20 * 9) + (P20 * 4))&amp;"/"&amp;IFERROR(VLOOKUP(A15,OverviewTable[],11,FALSE),"?")</f>
        <v>3129.1/2330</v>
      </c>
      <c r="D15" s="16" t="str">
        <f>N20&amp;"/"&amp;IFERROR(VLOOKUP(A15,OverviewTable[],12,FALSE),"?")</f>
        <v>117/130</v>
      </c>
      <c r="E15" s="16" t="str">
        <f>O20&amp;"/"&amp;IFERROR(VLOOKUP(A15,OverviewTable[],13,FALSE),"?")</f>
        <v>117.1/65</v>
      </c>
      <c r="F15" s="16" t="str">
        <f>P20&amp;"/"&amp;IFERROR(VLOOKUP(A15,OverviewTable[],14,FALSE),"?")</f>
        <v>401.8/306</v>
      </c>
      <c r="G15" s="53"/>
      <c r="H15" s="53"/>
      <c r="I15" s="51"/>
      <c r="J15" s="51"/>
      <c r="K15" s="51"/>
      <c r="L15" s="51"/>
      <c r="M15" s="54" t="s">
        <v>6</v>
      </c>
      <c r="N15" s="54">
        <f>(A18 * IFERROR(VLOOKUP(B18,BreakfastTable[],2,FALSE),0)) + (A19 * IFERROR(VLOOKUP(B19,BreakfastTable[],2,FALSE),0)) + (A20 * IFERROR(VLOOKUP(B20,BreakfastTable[],2,FALSE),0)) + (A21 * IFERROR(VLOOKUP(B21,BreakfastTable[],2,FALSE),0))</f>
        <v>20</v>
      </c>
      <c r="O15" s="54">
        <f>(A18 * IFERROR(VLOOKUP(B18,BreakfastTable[],3,FALSE),0)) + (A19 * IFERROR(VLOOKUP(B19,BreakfastTable[],3,FALSE),0)) + (A20 * IFERROR(VLOOKUP(B20,BreakfastTable[],3,FALSE),0)) + (A21 * IFERROR(VLOOKUP(B21,BreakfastTable[],3,FALSE),0))</f>
        <v>9</v>
      </c>
      <c r="P15" s="54">
        <f>(A18 * IFERROR(VLOOKUP(B18,BreakfastTable[],4,FALSE),0)) + (A19 * IFERROR(VLOOKUP(B19,BreakfastTable[],4,FALSE),0)) + (A20 * IFERROR(VLOOKUP(B20,BreakfastTable[],4,FALSE),0)) + (A21 * IFERROR(VLOOKUP(B21,BreakfastTable[],4,FALSE),0))</f>
        <v>30</v>
      </c>
    </row>
    <row r="16" spans="1:16" x14ac:dyDescent="0.25">
      <c r="A16" s="17"/>
      <c r="B16" s="17"/>
      <c r="C16" s="17"/>
      <c r="D16" s="17"/>
      <c r="E16" s="17"/>
      <c r="F16" s="17"/>
      <c r="G16" s="53"/>
      <c r="H16" s="53"/>
      <c r="I16" s="51"/>
      <c r="J16" s="51"/>
      <c r="K16" s="51"/>
      <c r="L16" s="51"/>
      <c r="M16" s="54" t="s">
        <v>11</v>
      </c>
      <c r="N16" s="54">
        <f>(C18 * IFERROR(VLOOKUP(D18,LunchTable[],2,FALSE),0)) + (C19 * IFERROR(VLOOKUP(D19,LunchTable[],2,FALSE),0)) + (C20 * IFERROR(VLOOKUP(D20,LunchTable[],2,FALSE),0)) + (C21 * IFERROR(VLOOKUP(D21,LunchTable[],2,FALSE),0))</f>
        <v>41.5</v>
      </c>
      <c r="O16" s="54">
        <f>(C18 * IFERROR(VLOOKUP(D18,LunchTable[],3,FALSE),0)) + (C19 * IFERROR(VLOOKUP(D19,LunchTable[],3,FALSE),0)) + (C20 * IFERROR(VLOOKUP(D20,LunchTable[],3,FALSE),0)) + (C21 * IFERROR(VLOOKUP(D21,LunchTable[],3,FALSE),0))</f>
        <v>70</v>
      </c>
      <c r="P16" s="54">
        <f>(C18 * IFERROR(VLOOKUP(D18,LunchTable[],4,FALSE),0)) + (C19 * IFERROR(VLOOKUP(D19,LunchTable[],4,FALSE),0)) + (C20 * IFERROR(VLOOKUP(D20,LunchTable[],4,FALSE),0)) + (C21 * IFERROR(VLOOKUP(D21,LunchTable[],4,FALSE),0))</f>
        <v>178</v>
      </c>
    </row>
    <row r="17" spans="1:16" ht="18" thickBot="1" x14ac:dyDescent="0.35">
      <c r="A17" s="10" t="s">
        <v>34</v>
      </c>
      <c r="B17" s="11" t="s">
        <v>6</v>
      </c>
      <c r="C17" s="10" t="s">
        <v>34</v>
      </c>
      <c r="D17" s="11" t="s">
        <v>11</v>
      </c>
      <c r="E17" s="10" t="s">
        <v>34</v>
      </c>
      <c r="F17" s="11" t="s">
        <v>12</v>
      </c>
      <c r="G17" s="10" t="s">
        <v>34</v>
      </c>
      <c r="H17" s="12" t="s">
        <v>35</v>
      </c>
      <c r="I17" s="5" t="s">
        <v>41</v>
      </c>
      <c r="J17" s="5" t="s">
        <v>42</v>
      </c>
      <c r="K17" s="5" t="s">
        <v>43</v>
      </c>
      <c r="L17" s="51"/>
      <c r="M17" s="54" t="s">
        <v>12</v>
      </c>
      <c r="N17" s="54">
        <f>(E18 * IFERROR(VLOOKUP(F18,DinnerTable[],2,FALSE),0)) + (E19 * IFERROR(VLOOKUP(F19,DinnerTable[],2,FALSE),0)) + (E20 * IFERROR(VLOOKUP(F20,DinnerTable[],2,FALSE),0)) + (E21 * IFERROR(VLOOKUP(F21,DinnerTable[],2,FALSE),0))</f>
        <v>55.5</v>
      </c>
      <c r="O17" s="54">
        <f>(E18 * IFERROR(VLOOKUP(F18,DinnerTable[],3,FALSE),0)) + (E19 * IFERROR(VLOOKUP(F19,DinnerTable[],3,FALSE),0)) + (E20 * IFERROR(VLOOKUP(F20,DinnerTable[],3,FALSE),0)) + (E21 * IFERROR(VLOOKUP(F21,DinnerTable[],3,FALSE),0))</f>
        <v>38.1</v>
      </c>
      <c r="P17" s="54">
        <f>(E18 * IFERROR(VLOOKUP(F18,DinnerTable[],4,FALSE),0)) + (E19 * IFERROR(VLOOKUP(F19,DinnerTable[],4,FALSE),0)) + (E20 * IFERROR(VLOOKUP(F20,DinnerTable[],4,FALSE),0)) + (E21 * IFERROR(VLOOKUP(F21,DinnerTable[],4,FALSE),0))</f>
        <v>143.80000000000001</v>
      </c>
    </row>
    <row r="18" spans="1:16" ht="15.75" thickTop="1" x14ac:dyDescent="0.25">
      <c r="A18" s="17">
        <v>1</v>
      </c>
      <c r="B18" s="17" t="s">
        <v>26</v>
      </c>
      <c r="C18" s="17">
        <v>4</v>
      </c>
      <c r="D18" s="17" t="s">
        <v>94</v>
      </c>
      <c r="E18" s="17">
        <v>0.5</v>
      </c>
      <c r="F18" s="17" t="s">
        <v>45</v>
      </c>
      <c r="G18" s="17"/>
      <c r="H18" s="17"/>
      <c r="I18" s="2">
        <v>0</v>
      </c>
      <c r="J18" s="2">
        <v>0</v>
      </c>
      <c r="K18" s="2">
        <v>50</v>
      </c>
      <c r="L18" s="51"/>
      <c r="M18" s="54" t="s">
        <v>35</v>
      </c>
      <c r="N18" s="54">
        <f>(G18 * IFERROR(VLOOKUP(H18,PostWorkoutTable[],2,FALSE),0)) + (G19 * IFERROR(VLOOKUP(H19,PostWorkoutTable[],2,FALSE),0)) + (G20 * IFERROR(VLOOKUP(H20,PostWorkoutTable[],2,FALSE),0)) + (G21 * IFERROR(VLOOKUP(H21,PostWorkoutTable[],2,FALSE),0))</f>
        <v>0</v>
      </c>
      <c r="O18" s="54">
        <f>(G18 * IFERROR(VLOOKUP(H18,PostWorkoutTable[],3,FALSE),0)) + (G19 * IFERROR(VLOOKUP(H19,PostWorkoutTable[],3,FALSE),0)) + (G20 * IFERROR(VLOOKUP(H20,PostWorkoutTable[],3,FALSE),0)) + (G21 * IFERROR(VLOOKUP(H21,PostWorkoutTable[],3,FALSE),0))</f>
        <v>0</v>
      </c>
      <c r="P18" s="54">
        <f>(G18 * IFERROR(VLOOKUP(H18,PostWorkoutTable[],4,FALSE),0)) + (G19 * IFERROR(VLOOKUP(H19,PostWorkoutTable[],4,FALSE),0)) + (G20 * IFERROR(VLOOKUP(H20,PostWorkoutTable[],4,FALSE),0)) + (G21 * IFERROR(VLOOKUP(H21,PostWorkoutTable[],4,FALSE),0))</f>
        <v>0</v>
      </c>
    </row>
    <row r="19" spans="1:16" x14ac:dyDescent="0.25">
      <c r="A19" s="17"/>
      <c r="B19" s="17"/>
      <c r="C19" s="17">
        <v>4</v>
      </c>
      <c r="D19" s="17" t="s">
        <v>93</v>
      </c>
      <c r="E19" s="17">
        <v>0.5</v>
      </c>
      <c r="F19" s="17" t="s">
        <v>92</v>
      </c>
      <c r="G19" s="17"/>
      <c r="H19" s="17"/>
      <c r="I19" s="2"/>
      <c r="J19" s="2"/>
      <c r="K19" s="2"/>
      <c r="L19" s="51"/>
      <c r="M19" s="54" t="s">
        <v>21</v>
      </c>
      <c r="N19" s="54">
        <f xml:space="preserve"> SUM(I18:I21)</f>
        <v>0</v>
      </c>
      <c r="O19" s="54">
        <f>SUM(J18:J21)</f>
        <v>0</v>
      </c>
      <c r="P19" s="54">
        <f>SUM(K18:K21)</f>
        <v>50</v>
      </c>
    </row>
    <row r="20" spans="1:16" x14ac:dyDescent="0.25">
      <c r="A20" s="17"/>
      <c r="B20" s="17"/>
      <c r="C20" s="17">
        <v>3</v>
      </c>
      <c r="D20" s="17" t="s">
        <v>22</v>
      </c>
      <c r="E20" s="17">
        <v>1</v>
      </c>
      <c r="F20" s="17" t="s">
        <v>91</v>
      </c>
      <c r="G20" s="17"/>
      <c r="H20" s="17"/>
      <c r="I20" s="2"/>
      <c r="J20" s="2"/>
      <c r="K20" s="2"/>
      <c r="L20" s="51"/>
      <c r="M20" s="54" t="s">
        <v>38</v>
      </c>
      <c r="N20" s="54">
        <f>SUM(N15:N19)</f>
        <v>117</v>
      </c>
      <c r="O20" s="54">
        <f>SUM(O15:O19)</f>
        <v>117.1</v>
      </c>
      <c r="P20" s="54">
        <f>SUM(P15:P19)</f>
        <v>401.8</v>
      </c>
    </row>
    <row r="21" spans="1:16" x14ac:dyDescent="0.25">
      <c r="A21" s="17"/>
      <c r="B21" s="17"/>
      <c r="C21" s="17"/>
      <c r="D21" s="17"/>
      <c r="E21" s="17">
        <v>1</v>
      </c>
      <c r="F21" s="17" t="s">
        <v>79</v>
      </c>
      <c r="G21" s="17"/>
      <c r="H21" s="17"/>
      <c r="I21" s="2"/>
      <c r="J21" s="2"/>
      <c r="K21" s="2"/>
      <c r="L21" s="51"/>
      <c r="M21" s="51"/>
      <c r="N21" s="51"/>
      <c r="O21" s="51"/>
      <c r="P21" s="51"/>
    </row>
    <row r="22" spans="1:16" x14ac:dyDescent="0.25">
      <c r="A22" s="51"/>
      <c r="B22" s="51"/>
      <c r="C22" s="51"/>
      <c r="D22" s="51"/>
      <c r="E22" s="51"/>
      <c r="F22" s="51"/>
      <c r="G22" s="51"/>
      <c r="H22" s="51"/>
      <c r="I22" s="51">
        <f>SUM(I18:I21)</f>
        <v>0</v>
      </c>
      <c r="J22" s="51">
        <f>SUM(J18:J21)</f>
        <v>0</v>
      </c>
      <c r="K22" s="51">
        <f>SUM(K18:K21)</f>
        <v>50</v>
      </c>
      <c r="L22" s="51"/>
      <c r="M22" s="51"/>
      <c r="N22" s="51"/>
      <c r="O22" s="51"/>
      <c r="P22" s="51"/>
    </row>
    <row r="23" spans="1:16" ht="23.25" x14ac:dyDescent="0.35">
      <c r="A23" s="56">
        <v>43558</v>
      </c>
      <c r="B23" s="55"/>
      <c r="C23" s="55"/>
      <c r="D23" s="55"/>
      <c r="E23" s="55"/>
      <c r="F23" s="51"/>
      <c r="G23" s="51"/>
      <c r="H23" s="51"/>
      <c r="I23" s="51"/>
      <c r="J23" s="51"/>
      <c r="K23" s="51"/>
      <c r="L23" s="51"/>
      <c r="M23" s="51"/>
      <c r="N23" s="51"/>
      <c r="O23" s="51"/>
      <c r="P23" s="51"/>
    </row>
    <row r="24" spans="1:16" ht="18" thickBot="1" x14ac:dyDescent="0.35">
      <c r="A24" s="3" t="s">
        <v>48</v>
      </c>
      <c r="B24" s="3" t="s">
        <v>0</v>
      </c>
      <c r="C24" s="3" t="s">
        <v>36</v>
      </c>
      <c r="D24" s="3" t="s">
        <v>8</v>
      </c>
      <c r="E24" s="5" t="s">
        <v>9</v>
      </c>
      <c r="F24" s="5" t="s">
        <v>10</v>
      </c>
      <c r="G24" s="52"/>
      <c r="H24" s="53"/>
      <c r="I24" s="51"/>
      <c r="J24" s="51"/>
      <c r="K24" s="51"/>
      <c r="L24" s="51"/>
      <c r="M24" s="52"/>
      <c r="N24" s="54" t="s">
        <v>8</v>
      </c>
      <c r="O24" s="54" t="s">
        <v>9</v>
      </c>
      <c r="P24" s="54" t="s">
        <v>10</v>
      </c>
    </row>
    <row r="25" spans="1:16" ht="15.75" thickTop="1" x14ac:dyDescent="0.25">
      <c r="A25" s="18">
        <v>43556</v>
      </c>
      <c r="B25" s="16">
        <f>IFERROR(VLOOKUP(A25,OverviewTable[],2,FALSE),"?")</f>
        <v>130</v>
      </c>
      <c r="C25" s="16" t="str">
        <f>((N30 * 4) + (O30 * 9) + (P30 * 4))&amp;"/"&amp;IFERROR(VLOOKUP(A25,OverviewTable[],11,FALSE),"?")</f>
        <v>2406.375/2330</v>
      </c>
      <c r="D25" s="16" t="str">
        <f>N30&amp;"/"&amp;IFERROR(VLOOKUP(A25,OverviewTable[],12,FALSE),"?")</f>
        <v>99.5/130</v>
      </c>
      <c r="E25" s="16" t="str">
        <f>O30&amp;"/"&amp;IFERROR(VLOOKUP(A25,OverviewTable[],13,FALSE),"?")</f>
        <v>92.375/65</v>
      </c>
      <c r="F25" s="16" t="str">
        <f>P30&amp;"/"&amp;IFERROR(VLOOKUP(A25,OverviewTable[],14,FALSE),"?")</f>
        <v>294.25/306</v>
      </c>
      <c r="G25" s="53"/>
      <c r="H25" s="53"/>
      <c r="I25" s="51"/>
      <c r="J25" s="51"/>
      <c r="K25" s="51"/>
      <c r="L25" s="51"/>
      <c r="M25" s="54" t="s">
        <v>6</v>
      </c>
      <c r="N25" s="54">
        <f>(A28 * IFERROR(VLOOKUP(B28,BreakfastTable[],2,FALSE),0)) + (A29 * IFERROR(VLOOKUP(B29,BreakfastTable[],2,FALSE),0)) + (A30 * IFERROR(VLOOKUP(B30,BreakfastTable[],2,FALSE),0)) + (A31 * IFERROR(VLOOKUP(B31,BreakfastTable[],2,FALSE),0))</f>
        <v>20</v>
      </c>
      <c r="O25" s="54">
        <f>(A28 * IFERROR(VLOOKUP(B28,BreakfastTable[],3,FALSE),0)) + (A29 * IFERROR(VLOOKUP(B29,BreakfastTable[],3,FALSE),0)) + (A30 * IFERROR(VLOOKUP(B30,BreakfastTable[],3,FALSE),0)) + (A31 * IFERROR(VLOOKUP(B31,BreakfastTable[],3,FALSE),0))</f>
        <v>9</v>
      </c>
      <c r="P25" s="54">
        <f>(A28 * IFERROR(VLOOKUP(B28,BreakfastTable[],4,FALSE),0)) + (A29 * IFERROR(VLOOKUP(B29,BreakfastTable[],4,FALSE),0)) + (A30 * IFERROR(VLOOKUP(B30,BreakfastTable[],4,FALSE),0)) + (A31 * IFERROR(VLOOKUP(B31,BreakfastTable[],4,FALSE),0))</f>
        <v>30</v>
      </c>
    </row>
    <row r="26" spans="1:16" x14ac:dyDescent="0.25">
      <c r="A26" s="17"/>
      <c r="B26" s="17"/>
      <c r="C26" s="17"/>
      <c r="D26" s="17"/>
      <c r="E26" s="17"/>
      <c r="F26" s="17"/>
      <c r="G26" s="53"/>
      <c r="H26" s="53"/>
      <c r="I26" s="51"/>
      <c r="J26" s="51"/>
      <c r="K26" s="51"/>
      <c r="L26" s="51"/>
      <c r="M26" s="54" t="s">
        <v>11</v>
      </c>
      <c r="N26" s="54">
        <f>(C28 * IFERROR(VLOOKUP(D28,LunchTable[],2,FALSE),0)) + (C29 * IFERROR(VLOOKUP(D29,LunchTable[],2,FALSE),0)) + (C30 * IFERROR(VLOOKUP(D30,LunchTable[],2,FALSE),0)) + (C31 * IFERROR(VLOOKUP(D31,LunchTable[],2,FALSE),0))</f>
        <v>52</v>
      </c>
      <c r="O26" s="54">
        <f>(C28 * IFERROR(VLOOKUP(D28,LunchTable[],3,FALSE),0)) + (C29 * IFERROR(VLOOKUP(D29,LunchTable[],3,FALSE),0)) + (C30 * IFERROR(VLOOKUP(D30,LunchTable[],3,FALSE),0)) + (C31 * IFERROR(VLOOKUP(D31,LunchTable[],3,FALSE),0))</f>
        <v>54</v>
      </c>
      <c r="P26" s="54">
        <f>(C28 * IFERROR(VLOOKUP(D28,LunchTable[],4,FALSE),0)) + (C29 * IFERROR(VLOOKUP(D29,LunchTable[],4,FALSE),0)) + (C30 * IFERROR(VLOOKUP(D30,LunchTable[],4,FALSE),0)) + (C31 * IFERROR(VLOOKUP(D31,LunchTable[],4,FALSE),0))</f>
        <v>99.5</v>
      </c>
    </row>
    <row r="27" spans="1:16" ht="18" thickBot="1" x14ac:dyDescent="0.35">
      <c r="A27" s="10" t="s">
        <v>34</v>
      </c>
      <c r="B27" s="11" t="s">
        <v>6</v>
      </c>
      <c r="C27" s="10" t="s">
        <v>34</v>
      </c>
      <c r="D27" s="11" t="s">
        <v>11</v>
      </c>
      <c r="E27" s="10" t="s">
        <v>34</v>
      </c>
      <c r="F27" s="11" t="s">
        <v>12</v>
      </c>
      <c r="G27" s="10" t="s">
        <v>34</v>
      </c>
      <c r="H27" s="12" t="s">
        <v>35</v>
      </c>
      <c r="I27" s="5" t="s">
        <v>41</v>
      </c>
      <c r="J27" s="5" t="s">
        <v>42</v>
      </c>
      <c r="K27" s="5" t="s">
        <v>43</v>
      </c>
      <c r="L27" s="51"/>
      <c r="M27" s="54" t="s">
        <v>12</v>
      </c>
      <c r="N27" s="54">
        <f>(E28 * IFERROR(VLOOKUP(F28,DinnerTable[],2,FALSE),0)) + (E29 * IFERROR(VLOOKUP(F29,DinnerTable[],2,FALSE),0)) + (E30 * IFERROR(VLOOKUP(F30,DinnerTable[],2,FALSE),0)) + (E31 * IFERROR(VLOOKUP(F31,DinnerTable[],2,FALSE),0))</f>
        <v>27.5</v>
      </c>
      <c r="O27" s="54">
        <f>(E28 * IFERROR(VLOOKUP(F28,DinnerTable[],3,FALSE),0)) + (E29 * IFERROR(VLOOKUP(F29,DinnerTable[],3,FALSE),0)) + (E30 * IFERROR(VLOOKUP(F30,DinnerTable[],3,FALSE),0)) + (E31 * IFERROR(VLOOKUP(F31,DinnerTable[],3,FALSE),0))</f>
        <v>29.375</v>
      </c>
      <c r="P27" s="54">
        <f>(E28 * IFERROR(VLOOKUP(F28,DinnerTable[],4,FALSE),0)) + (E29 * IFERROR(VLOOKUP(F29,DinnerTable[],4,FALSE),0)) + (E30 * IFERROR(VLOOKUP(F30,DinnerTable[],4,FALSE),0)) + (E31 * IFERROR(VLOOKUP(F31,DinnerTable[],4,FALSE),0))</f>
        <v>164.75</v>
      </c>
    </row>
    <row r="28" spans="1:16" ht="15.75" thickTop="1" x14ac:dyDescent="0.25">
      <c r="A28" s="17">
        <v>1</v>
      </c>
      <c r="B28" s="17" t="s">
        <v>26</v>
      </c>
      <c r="C28" s="17">
        <v>1</v>
      </c>
      <c r="D28" s="17" t="s">
        <v>25</v>
      </c>
      <c r="E28" s="17">
        <v>2</v>
      </c>
      <c r="F28" s="17" t="s">
        <v>68</v>
      </c>
      <c r="G28" s="17"/>
      <c r="H28" s="17"/>
      <c r="I28" s="2"/>
      <c r="J28" s="2"/>
      <c r="K28" s="2"/>
      <c r="L28" s="51"/>
      <c r="M28" s="54" t="s">
        <v>35</v>
      </c>
      <c r="N28" s="54">
        <f>(G28 * IFERROR(VLOOKUP(H28,PostWorkoutTable[],2,FALSE),0)) + (G29 * IFERROR(VLOOKUP(H29,PostWorkoutTable[],2,FALSE),0)) + (G30 * IFERROR(VLOOKUP(H30,PostWorkoutTable[],2,FALSE),0)) + (G31 * IFERROR(VLOOKUP(H31,PostWorkoutTable[],2,FALSE),0))</f>
        <v>0</v>
      </c>
      <c r="O28" s="54">
        <f>(G28 * IFERROR(VLOOKUP(H28,PostWorkoutTable[],3,FALSE),0)) + (G29 * IFERROR(VLOOKUP(H29,PostWorkoutTable[],3,FALSE),0)) + (G30 * IFERROR(VLOOKUP(H30,PostWorkoutTable[],3,FALSE),0)) + (G31 * IFERROR(VLOOKUP(H31,PostWorkoutTable[],3,FALSE),0))</f>
        <v>0</v>
      </c>
      <c r="P28" s="54">
        <f>(G28 * IFERROR(VLOOKUP(H28,PostWorkoutTable[],4,FALSE),0)) + (G29 * IFERROR(VLOOKUP(H29,PostWorkoutTable[],4,FALSE),0)) + (G30 * IFERROR(VLOOKUP(H30,PostWorkoutTable[],4,FALSE),0)) + (G31 * IFERROR(VLOOKUP(H31,PostWorkoutTable[],4,FALSE),0))</f>
        <v>0</v>
      </c>
    </row>
    <row r="29" spans="1:16" x14ac:dyDescent="0.25">
      <c r="A29" s="17"/>
      <c r="B29" s="17"/>
      <c r="C29" s="17">
        <v>1</v>
      </c>
      <c r="D29" s="17" t="s">
        <v>55</v>
      </c>
      <c r="E29" s="17">
        <v>0.25</v>
      </c>
      <c r="F29" s="17" t="s">
        <v>44</v>
      </c>
      <c r="G29" s="17"/>
      <c r="H29" s="17"/>
      <c r="I29" s="2"/>
      <c r="J29" s="2"/>
      <c r="K29" s="2"/>
      <c r="L29" s="51"/>
      <c r="M29" s="54" t="s">
        <v>21</v>
      </c>
      <c r="N29" s="54">
        <f xml:space="preserve"> SUM(I28:I31)</f>
        <v>0</v>
      </c>
      <c r="O29" s="54">
        <f>SUM(J28:J31)</f>
        <v>0</v>
      </c>
      <c r="P29" s="54">
        <f>SUM(K28:K31)</f>
        <v>0</v>
      </c>
    </row>
    <row r="30" spans="1:16" x14ac:dyDescent="0.25">
      <c r="A30" s="17"/>
      <c r="B30" s="17"/>
      <c r="C30" s="17">
        <v>1</v>
      </c>
      <c r="D30" s="17" t="s">
        <v>55</v>
      </c>
      <c r="E30" s="17">
        <v>0.75</v>
      </c>
      <c r="F30" s="17" t="s">
        <v>56</v>
      </c>
      <c r="G30" s="17"/>
      <c r="H30" s="17"/>
      <c r="I30" s="2"/>
      <c r="J30" s="2"/>
      <c r="K30" s="2"/>
      <c r="L30" s="51"/>
      <c r="M30" s="54" t="s">
        <v>38</v>
      </c>
      <c r="N30" s="54">
        <f>SUM(N25:N29)</f>
        <v>99.5</v>
      </c>
      <c r="O30" s="54">
        <f>SUM(O25:O29)</f>
        <v>92.375</v>
      </c>
      <c r="P30" s="54">
        <f>SUM(P25:P29)</f>
        <v>294.25</v>
      </c>
    </row>
    <row r="31" spans="1:16" x14ac:dyDescent="0.25">
      <c r="A31" s="17"/>
      <c r="B31" s="17"/>
      <c r="C31" s="17"/>
      <c r="D31" s="17"/>
      <c r="E31" s="17"/>
      <c r="F31" s="17"/>
      <c r="G31" s="17"/>
      <c r="H31" s="17"/>
      <c r="I31" s="2"/>
      <c r="J31" s="2"/>
      <c r="K31" s="2"/>
      <c r="L31" s="51"/>
      <c r="M31" s="51"/>
      <c r="N31" s="51"/>
      <c r="O31" s="51"/>
      <c r="P31" s="51"/>
    </row>
    <row r="32" spans="1:16" x14ac:dyDescent="0.25">
      <c r="A32" s="51"/>
      <c r="B32" s="51"/>
      <c r="C32" s="51"/>
      <c r="D32" s="51"/>
      <c r="E32" s="51"/>
      <c r="F32" s="51"/>
      <c r="G32" s="51"/>
      <c r="H32" s="51"/>
      <c r="I32" s="51">
        <f>SUM(I28:I31)</f>
        <v>0</v>
      </c>
      <c r="J32" s="51">
        <f>SUM(J28:J31)</f>
        <v>0</v>
      </c>
      <c r="K32" s="51">
        <f>SUM(K28:K31)</f>
        <v>0</v>
      </c>
      <c r="L32" s="51"/>
      <c r="M32" s="51"/>
      <c r="N32" s="51"/>
      <c r="O32" s="51"/>
      <c r="P32" s="51"/>
    </row>
    <row r="33" spans="1:16" ht="23.25" x14ac:dyDescent="0.35">
      <c r="A33" s="56">
        <v>43559</v>
      </c>
      <c r="B33" s="55"/>
      <c r="C33" s="55"/>
      <c r="D33" s="55"/>
      <c r="E33" s="55"/>
      <c r="F33" s="51"/>
      <c r="G33" s="51"/>
      <c r="H33" s="51"/>
      <c r="I33" s="51"/>
      <c r="J33" s="51"/>
      <c r="K33" s="51"/>
      <c r="L33" s="51"/>
      <c r="M33" s="51"/>
      <c r="N33" s="51"/>
      <c r="O33" s="51"/>
      <c r="P33" s="51"/>
    </row>
    <row r="34" spans="1:16" ht="18" thickBot="1" x14ac:dyDescent="0.35">
      <c r="A34" s="3" t="s">
        <v>48</v>
      </c>
      <c r="B34" s="3" t="s">
        <v>0</v>
      </c>
      <c r="C34" s="3" t="s">
        <v>36</v>
      </c>
      <c r="D34" s="3" t="s">
        <v>8</v>
      </c>
      <c r="E34" s="5" t="s">
        <v>9</v>
      </c>
      <c r="F34" s="5" t="s">
        <v>10</v>
      </c>
      <c r="G34" s="52"/>
      <c r="H34" s="53"/>
      <c r="I34" s="51"/>
      <c r="J34" s="51"/>
      <c r="K34" s="51"/>
      <c r="L34" s="51"/>
      <c r="M34" s="52"/>
      <c r="N34" s="54" t="s">
        <v>8</v>
      </c>
      <c r="O34" s="54" t="s">
        <v>9</v>
      </c>
      <c r="P34" s="54" t="s">
        <v>10</v>
      </c>
    </row>
    <row r="35" spans="1:16" ht="15.75" thickTop="1" x14ac:dyDescent="0.25">
      <c r="A35" s="18">
        <v>43556</v>
      </c>
      <c r="B35" s="16">
        <f>IFERROR(VLOOKUP(A35,OverviewTable[],2,FALSE),"?")</f>
        <v>130</v>
      </c>
      <c r="C35" s="16" t="str">
        <f>((N40 * 4) + (O40 * 9) + (P40 * 4))&amp;"/"&amp;IFERROR(VLOOKUP(A35,OverviewTable[],11,FALSE),"?")</f>
        <v>2938.975/2330</v>
      </c>
      <c r="D35" s="16" t="str">
        <f>N40&amp;"/"&amp;IFERROR(VLOOKUP(A35,OverviewTable[],12,FALSE),"?")</f>
        <v>135.3/130</v>
      </c>
      <c r="E35" s="16" t="str">
        <f>O40&amp;"/"&amp;IFERROR(VLOOKUP(A35,OverviewTable[],13,FALSE),"?")</f>
        <v>91.375/65</v>
      </c>
      <c r="F35" s="16" t="str">
        <f>P40&amp;"/"&amp;IFERROR(VLOOKUP(A35,OverviewTable[],14,FALSE),"?")</f>
        <v>393.85/306</v>
      </c>
      <c r="G35" s="53"/>
      <c r="H35" s="53"/>
      <c r="I35" s="51"/>
      <c r="J35" s="51"/>
      <c r="K35" s="51"/>
      <c r="L35" s="51"/>
      <c r="M35" s="54" t="s">
        <v>6</v>
      </c>
      <c r="N35" s="54">
        <f>(A38 * IFERROR(VLOOKUP(B38,BreakfastTable[],2,FALSE),0)) + (A39 * IFERROR(VLOOKUP(B39,BreakfastTable[],2,FALSE),0)) + (A40 * IFERROR(VLOOKUP(B40,BreakfastTable[],2,FALSE),0)) + (A41 * IFERROR(VLOOKUP(B41,BreakfastTable[],2,FALSE),0))</f>
        <v>32.299999999999997</v>
      </c>
      <c r="O35" s="54">
        <f>(A38 * IFERROR(VLOOKUP(B38,BreakfastTable[],3,FALSE),0)) + (A39 * IFERROR(VLOOKUP(B39,BreakfastTable[],3,FALSE),0)) + (A40 * IFERROR(VLOOKUP(B40,BreakfastTable[],3,FALSE),0)) + (A41 * IFERROR(VLOOKUP(B41,BreakfastTable[],3,FALSE),0))</f>
        <v>14.9</v>
      </c>
      <c r="P35" s="54">
        <f>(A38 * IFERROR(VLOOKUP(B38,BreakfastTable[],4,FALSE),0)) + (A39 * IFERROR(VLOOKUP(B39,BreakfastTable[],4,FALSE),0)) + (A40 * IFERROR(VLOOKUP(B40,BreakfastTable[],4,FALSE),0)) + (A41 * IFERROR(VLOOKUP(B41,BreakfastTable[],4,FALSE),0))</f>
        <v>55.3</v>
      </c>
    </row>
    <row r="36" spans="1:16" x14ac:dyDescent="0.25">
      <c r="A36" s="17"/>
      <c r="B36" s="17"/>
      <c r="C36" s="17"/>
      <c r="D36" s="17"/>
      <c r="E36" s="17"/>
      <c r="F36" s="17"/>
      <c r="G36" s="53"/>
      <c r="H36" s="53"/>
      <c r="I36" s="51"/>
      <c r="J36" s="51"/>
      <c r="K36" s="51"/>
      <c r="L36" s="51"/>
      <c r="M36" s="54" t="s">
        <v>11</v>
      </c>
      <c r="N36" s="54">
        <f>(C38 * IFERROR(VLOOKUP(D38,LunchTable[],2,FALSE),0)) + (C39 * IFERROR(VLOOKUP(D39,LunchTable[],2,FALSE),0)) + (C40 * IFERROR(VLOOKUP(D40,LunchTable[],2,FALSE),0)) + (C41 * IFERROR(VLOOKUP(D41,LunchTable[],2,FALSE),0))</f>
        <v>55.5</v>
      </c>
      <c r="O36" s="54">
        <f>(C38 * IFERROR(VLOOKUP(D38,LunchTable[],3,FALSE),0)) + (C39 * IFERROR(VLOOKUP(D39,LunchTable[],3,FALSE),0)) + (C40 * IFERROR(VLOOKUP(D40,LunchTable[],3,FALSE),0)) + (C41 * IFERROR(VLOOKUP(D41,LunchTable[],3,FALSE),0))</f>
        <v>38.1</v>
      </c>
      <c r="P36" s="54">
        <f>(C38 * IFERROR(VLOOKUP(D38,LunchTable[],4,FALSE),0)) + (C39 * IFERROR(VLOOKUP(D39,LunchTable[],4,FALSE),0)) + (C40 * IFERROR(VLOOKUP(D40,LunchTable[],4,FALSE),0)) + (C41 * IFERROR(VLOOKUP(D41,LunchTable[],4,FALSE),0))</f>
        <v>143.80000000000001</v>
      </c>
    </row>
    <row r="37" spans="1:16" ht="18" thickBot="1" x14ac:dyDescent="0.35">
      <c r="A37" s="10" t="s">
        <v>34</v>
      </c>
      <c r="B37" s="11" t="s">
        <v>6</v>
      </c>
      <c r="C37" s="10" t="s">
        <v>34</v>
      </c>
      <c r="D37" s="11" t="s">
        <v>11</v>
      </c>
      <c r="E37" s="10" t="s">
        <v>34</v>
      </c>
      <c r="F37" s="11" t="s">
        <v>12</v>
      </c>
      <c r="G37" s="10" t="s">
        <v>34</v>
      </c>
      <c r="H37" s="12" t="s">
        <v>35</v>
      </c>
      <c r="I37" s="5" t="s">
        <v>41</v>
      </c>
      <c r="J37" s="5" t="s">
        <v>42</v>
      </c>
      <c r="K37" s="5" t="s">
        <v>43</v>
      </c>
      <c r="L37" s="51"/>
      <c r="M37" s="54" t="s">
        <v>12</v>
      </c>
      <c r="N37" s="54">
        <f>(E38 * IFERROR(VLOOKUP(F38,DinnerTable[],2,FALSE),0)) + (E39 * IFERROR(VLOOKUP(F39,DinnerTable[],2,FALSE),0)) + (E40 * IFERROR(VLOOKUP(F40,DinnerTable[],2,FALSE),0)) + (E41 * IFERROR(VLOOKUP(F41,DinnerTable[],2,FALSE),0))</f>
        <v>27.5</v>
      </c>
      <c r="O37" s="54">
        <f>(E38 * IFERROR(VLOOKUP(F38,DinnerTable[],3,FALSE),0)) + (E39 * IFERROR(VLOOKUP(F39,DinnerTable[],3,FALSE),0)) + (E40 * IFERROR(VLOOKUP(F40,DinnerTable[],3,FALSE),0)) + (E41 * IFERROR(VLOOKUP(F41,DinnerTable[],3,FALSE),0))</f>
        <v>29.375</v>
      </c>
      <c r="P37" s="54">
        <f>(E38 * IFERROR(VLOOKUP(F38,DinnerTable[],4,FALSE),0)) + (E39 * IFERROR(VLOOKUP(F39,DinnerTable[],4,FALSE),0)) + (E40 * IFERROR(VLOOKUP(F40,DinnerTable[],4,FALSE),0)) + (E41 * IFERROR(VLOOKUP(F41,DinnerTable[],4,FALSE),0))</f>
        <v>164.75</v>
      </c>
    </row>
    <row r="38" spans="1:16" ht="15.75" thickTop="1" x14ac:dyDescent="0.25">
      <c r="A38" s="17">
        <v>1</v>
      </c>
      <c r="B38" s="17" t="s">
        <v>98</v>
      </c>
      <c r="C38" s="17">
        <v>0.5</v>
      </c>
      <c r="D38" s="17" t="s">
        <v>45</v>
      </c>
      <c r="E38" s="17">
        <v>2</v>
      </c>
      <c r="F38" s="17" t="s">
        <v>68</v>
      </c>
      <c r="G38" s="17">
        <v>1</v>
      </c>
      <c r="H38" s="17" t="s">
        <v>26</v>
      </c>
      <c r="I38" s="2"/>
      <c r="J38" s="2"/>
      <c r="K38" s="2"/>
      <c r="L38" s="51"/>
      <c r="M38" s="54" t="s">
        <v>35</v>
      </c>
      <c r="N38" s="54">
        <f>(G38 * IFERROR(VLOOKUP(H38,PostWorkoutTable[],2,FALSE),0)) + (G39 * IFERROR(VLOOKUP(H39,PostWorkoutTable[],2,FALSE),0)) + (G40 * IFERROR(VLOOKUP(H40,PostWorkoutTable[],2,FALSE),0)) + (G41 * IFERROR(VLOOKUP(H41,PostWorkoutTable[],2,FALSE),0))</f>
        <v>20</v>
      </c>
      <c r="O38" s="54">
        <f>(G38 * IFERROR(VLOOKUP(H38,PostWorkoutTable[],3,FALSE),0)) + (G39 * IFERROR(VLOOKUP(H39,PostWorkoutTable[],3,FALSE),0)) + (G40 * IFERROR(VLOOKUP(H40,PostWorkoutTable[],3,FALSE),0)) + (G41 * IFERROR(VLOOKUP(H41,PostWorkoutTable[],3,FALSE),0))</f>
        <v>9</v>
      </c>
      <c r="P38" s="54">
        <f>(G38 * IFERROR(VLOOKUP(H38,PostWorkoutTable[],4,FALSE),0)) + (G39 * IFERROR(VLOOKUP(H39,PostWorkoutTable[],4,FALSE),0)) + (G40 * IFERROR(VLOOKUP(H40,PostWorkoutTable[],4,FALSE),0)) + (G41 * IFERROR(VLOOKUP(H41,PostWorkoutTable[],4,FALSE),0))</f>
        <v>30</v>
      </c>
    </row>
    <row r="39" spans="1:16" x14ac:dyDescent="0.25">
      <c r="A39" s="17"/>
      <c r="B39" s="17"/>
      <c r="C39" s="17">
        <v>0.5</v>
      </c>
      <c r="D39" s="17" t="s">
        <v>92</v>
      </c>
      <c r="E39" s="17">
        <v>0.25</v>
      </c>
      <c r="F39" s="17" t="s">
        <v>44</v>
      </c>
      <c r="G39" s="17"/>
      <c r="H39" s="17"/>
      <c r="I39" s="2"/>
      <c r="J39" s="2"/>
      <c r="K39" s="2"/>
      <c r="L39" s="51"/>
      <c r="M39" s="54" t="s">
        <v>21</v>
      </c>
      <c r="N39" s="54">
        <f xml:space="preserve"> SUM(I38:I41)</f>
        <v>0</v>
      </c>
      <c r="O39" s="54">
        <f>SUM(J38:J41)</f>
        <v>0</v>
      </c>
      <c r="P39" s="54">
        <f>SUM(K38:K41)</f>
        <v>0</v>
      </c>
    </row>
    <row r="40" spans="1:16" x14ac:dyDescent="0.25">
      <c r="A40" s="17"/>
      <c r="B40" s="17"/>
      <c r="C40" s="17">
        <v>1</v>
      </c>
      <c r="D40" s="17" t="s">
        <v>91</v>
      </c>
      <c r="E40" s="17">
        <v>0.75</v>
      </c>
      <c r="F40" s="17" t="s">
        <v>56</v>
      </c>
      <c r="G40" s="17"/>
      <c r="H40" s="17"/>
      <c r="I40" s="2"/>
      <c r="J40" s="2"/>
      <c r="K40" s="2"/>
      <c r="L40" s="51"/>
      <c r="M40" s="54" t="s">
        <v>38</v>
      </c>
      <c r="N40" s="54">
        <f>SUM(N35:N39)</f>
        <v>135.30000000000001</v>
      </c>
      <c r="O40" s="54">
        <f>SUM(O35:O39)</f>
        <v>91.375</v>
      </c>
      <c r="P40" s="54">
        <f>SUM(P35:P39)</f>
        <v>393.85</v>
      </c>
    </row>
    <row r="41" spans="1:16" x14ac:dyDescent="0.25">
      <c r="A41" s="17"/>
      <c r="B41" s="17"/>
      <c r="C41" s="17">
        <v>1</v>
      </c>
      <c r="D41" s="17" t="s">
        <v>79</v>
      </c>
      <c r="E41" s="17"/>
      <c r="F41" s="17"/>
      <c r="G41" s="17"/>
      <c r="H41" s="17"/>
      <c r="I41" s="2"/>
      <c r="J41" s="2"/>
      <c r="K41" s="2"/>
      <c r="L41" s="51"/>
      <c r="M41" s="51"/>
      <c r="N41" s="51"/>
      <c r="O41" s="51"/>
      <c r="P41" s="51"/>
    </row>
    <row r="42" spans="1:16" x14ac:dyDescent="0.25">
      <c r="A42" s="51"/>
      <c r="B42" s="51"/>
      <c r="C42" s="51"/>
      <c r="D42" s="51"/>
      <c r="E42" s="51"/>
      <c r="F42" s="51"/>
      <c r="G42" s="51"/>
      <c r="H42" s="51"/>
      <c r="I42" s="51">
        <f>SUM(I38:I41)</f>
        <v>0</v>
      </c>
      <c r="J42" s="51">
        <f>SUM(J38:J41)</f>
        <v>0</v>
      </c>
      <c r="K42" s="51">
        <f>SUM(K38:K41)</f>
        <v>0</v>
      </c>
      <c r="L42" s="51"/>
      <c r="M42" s="51"/>
      <c r="N42" s="51"/>
      <c r="O42" s="51"/>
      <c r="P42" s="51"/>
    </row>
    <row r="43" spans="1:16" ht="23.25" x14ac:dyDescent="0.35">
      <c r="A43" s="56">
        <v>43560</v>
      </c>
      <c r="B43" s="55"/>
      <c r="C43" s="55"/>
      <c r="D43" s="55"/>
      <c r="E43" s="55"/>
      <c r="F43" s="51"/>
      <c r="G43" s="51"/>
      <c r="H43" s="51"/>
      <c r="I43" s="51"/>
      <c r="J43" s="51"/>
      <c r="K43" s="51"/>
      <c r="L43" s="51"/>
      <c r="M43" s="51"/>
      <c r="N43" s="51"/>
      <c r="O43" s="51"/>
      <c r="P43" s="51"/>
    </row>
    <row r="44" spans="1:16" ht="18" thickBot="1" x14ac:dyDescent="0.35">
      <c r="A44" s="3" t="s">
        <v>48</v>
      </c>
      <c r="B44" s="3" t="s">
        <v>0</v>
      </c>
      <c r="C44" s="3" t="s">
        <v>36</v>
      </c>
      <c r="D44" s="3" t="s">
        <v>8</v>
      </c>
      <c r="E44" s="5" t="s">
        <v>9</v>
      </c>
      <c r="F44" s="5" t="s">
        <v>10</v>
      </c>
      <c r="G44" s="52"/>
      <c r="H44" s="53"/>
      <c r="I44" s="51"/>
      <c r="J44" s="51"/>
      <c r="K44" s="51"/>
      <c r="L44" s="51"/>
      <c r="M44" s="52"/>
      <c r="N44" s="54" t="s">
        <v>8</v>
      </c>
      <c r="O44" s="54" t="s">
        <v>9</v>
      </c>
      <c r="P44" s="54" t="s">
        <v>10</v>
      </c>
    </row>
    <row r="45" spans="1:16" ht="15.75" thickTop="1" x14ac:dyDescent="0.25">
      <c r="A45" s="18">
        <v>43556</v>
      </c>
      <c r="B45" s="16">
        <f>IFERROR(VLOOKUP(A45,OverviewTable[],2,FALSE),"?")</f>
        <v>130</v>
      </c>
      <c r="C45" s="16" t="str">
        <f>((N50 * 4) + (O50 * 9) + (P50 * 4))&amp;"/"&amp;IFERROR(VLOOKUP(A45,OverviewTable[],11,FALSE),"?")</f>
        <v>2324.8/2330</v>
      </c>
      <c r="D45" s="16" t="str">
        <f>N50&amp;"/"&amp;IFERROR(VLOOKUP(A45,OverviewTable[],12,FALSE),"?")</f>
        <v>80.2/130</v>
      </c>
      <c r="E45" s="16" t="str">
        <f>O50&amp;"/"&amp;IFERROR(VLOOKUP(A45,OverviewTable[],13,FALSE),"?")</f>
        <v>128/65</v>
      </c>
      <c r="F45" s="16" t="str">
        <f>P50&amp;"/"&amp;IFERROR(VLOOKUP(A45,OverviewTable[],14,FALSE),"?")</f>
        <v>213/306</v>
      </c>
      <c r="G45" s="53"/>
      <c r="H45" s="53"/>
      <c r="I45" s="51"/>
      <c r="J45" s="51"/>
      <c r="K45" s="51"/>
      <c r="L45" s="51"/>
      <c r="M45" s="54" t="s">
        <v>6</v>
      </c>
      <c r="N45" s="54">
        <f>(A48 * IFERROR(VLOOKUP(B48,BreakfastTable[],2,FALSE),0)) + (A49 * IFERROR(VLOOKUP(B49,BreakfastTable[],2,FALSE),0)) + (A50 * IFERROR(VLOOKUP(B50,BreakfastTable[],2,FALSE),0)) + (A51 * IFERROR(VLOOKUP(B51,BreakfastTable[],2,FALSE),0))</f>
        <v>20</v>
      </c>
      <c r="O45" s="54">
        <f>(A48 * IFERROR(VLOOKUP(B48,BreakfastTable[],3,FALSE),0)) + (A49 * IFERROR(VLOOKUP(B49,BreakfastTable[],3,FALSE),0)) + (A50 * IFERROR(VLOOKUP(B50,BreakfastTable[],3,FALSE),0)) + (A51 * IFERROR(VLOOKUP(B51,BreakfastTable[],3,FALSE),0))</f>
        <v>10</v>
      </c>
      <c r="P45" s="54">
        <f>(A48 * IFERROR(VLOOKUP(B48,BreakfastTable[],4,FALSE),0)) + (A49 * IFERROR(VLOOKUP(B49,BreakfastTable[],4,FALSE),0)) + (A50 * IFERROR(VLOOKUP(B50,BreakfastTable[],4,FALSE),0)) + (A51 * IFERROR(VLOOKUP(B51,BreakfastTable[],4,FALSE),0))</f>
        <v>21</v>
      </c>
    </row>
    <row r="46" spans="1:16" x14ac:dyDescent="0.25">
      <c r="A46" s="17"/>
      <c r="B46" s="17"/>
      <c r="C46" s="17"/>
      <c r="D46" s="17"/>
      <c r="E46" s="17"/>
      <c r="F46" s="17"/>
      <c r="G46" s="53"/>
      <c r="H46" s="53"/>
      <c r="I46" s="51"/>
      <c r="J46" s="51"/>
      <c r="K46" s="51"/>
      <c r="L46" s="51"/>
      <c r="M46" s="54" t="s">
        <v>11</v>
      </c>
      <c r="N46" s="54">
        <f>(C48 * IFERROR(VLOOKUP(D48,LunchTable[],2,FALSE),0)) + (C49 * IFERROR(VLOOKUP(D49,LunchTable[],2,FALSE),0)) + (C50 * IFERROR(VLOOKUP(D50,LunchTable[],2,FALSE),0)) + (C51 * IFERROR(VLOOKUP(D51,LunchTable[],2,FALSE),0))</f>
        <v>0</v>
      </c>
      <c r="O46" s="54">
        <f>(C48 * IFERROR(VLOOKUP(D48,LunchTable[],3,FALSE),0)) + (C49 * IFERROR(VLOOKUP(D49,LunchTable[],3,FALSE),0)) + (C50 * IFERROR(VLOOKUP(D50,LunchTable[],3,FALSE),0)) + (C51 * IFERROR(VLOOKUP(D51,LunchTable[],3,FALSE),0))</f>
        <v>0</v>
      </c>
      <c r="P46" s="54">
        <f>(C48 * IFERROR(VLOOKUP(D48,LunchTable[],4,FALSE),0)) + (C49 * IFERROR(VLOOKUP(D49,LunchTable[],4,FALSE),0)) + (C50 * IFERROR(VLOOKUP(D50,LunchTable[],4,FALSE),0)) + (C51 * IFERROR(VLOOKUP(D51,LunchTable[],4,FALSE),0))</f>
        <v>0</v>
      </c>
    </row>
    <row r="47" spans="1:16" ht="18" thickBot="1" x14ac:dyDescent="0.35">
      <c r="A47" s="10" t="s">
        <v>34</v>
      </c>
      <c r="B47" s="11" t="s">
        <v>6</v>
      </c>
      <c r="C47" s="10" t="s">
        <v>34</v>
      </c>
      <c r="D47" s="11" t="s">
        <v>11</v>
      </c>
      <c r="E47" s="10" t="s">
        <v>34</v>
      </c>
      <c r="F47" s="11" t="s">
        <v>12</v>
      </c>
      <c r="G47" s="10" t="s">
        <v>34</v>
      </c>
      <c r="H47" s="12" t="s">
        <v>35</v>
      </c>
      <c r="I47" s="5" t="s">
        <v>41</v>
      </c>
      <c r="J47" s="5" t="s">
        <v>42</v>
      </c>
      <c r="K47" s="5" t="s">
        <v>43</v>
      </c>
      <c r="L47" s="51"/>
      <c r="M47" s="54" t="s">
        <v>12</v>
      </c>
      <c r="N47" s="54">
        <f>(E48 * IFERROR(VLOOKUP(F48,DinnerTable[],2,FALSE),0)) + (E49 * IFERROR(VLOOKUP(F49,DinnerTable[],2,FALSE),0)) + (E50 * IFERROR(VLOOKUP(F50,DinnerTable[],2,FALSE),0)) + (E51 * IFERROR(VLOOKUP(F51,DinnerTable[],2,FALSE),0))</f>
        <v>0</v>
      </c>
      <c r="O47" s="54">
        <f>(E48 * IFERROR(VLOOKUP(F48,DinnerTable[],3,FALSE),0)) + (E49 * IFERROR(VLOOKUP(F49,DinnerTable[],3,FALSE),0)) + (E50 * IFERROR(VLOOKUP(F50,DinnerTable[],3,FALSE),0)) + (E51 * IFERROR(VLOOKUP(F51,DinnerTable[],3,FALSE),0))</f>
        <v>0</v>
      </c>
      <c r="P47" s="54">
        <f>(E48 * IFERROR(VLOOKUP(F48,DinnerTable[],4,FALSE),0)) + (E49 * IFERROR(VLOOKUP(F49,DinnerTable[],4,FALSE),0)) + (E50 * IFERROR(VLOOKUP(F50,DinnerTable[],4,FALSE),0)) + (E51 * IFERROR(VLOOKUP(F51,DinnerTable[],4,FALSE),0))</f>
        <v>0</v>
      </c>
    </row>
    <row r="48" spans="1:16" ht="15.75" thickTop="1" x14ac:dyDescent="0.25">
      <c r="A48" s="17">
        <v>1</v>
      </c>
      <c r="B48" s="17" t="s">
        <v>105</v>
      </c>
      <c r="C48" s="17"/>
      <c r="D48" s="17"/>
      <c r="E48" s="17"/>
      <c r="F48" s="17"/>
      <c r="G48" s="17"/>
      <c r="H48" s="17"/>
      <c r="I48" s="2">
        <v>31.2</v>
      </c>
      <c r="J48" s="2">
        <v>76</v>
      </c>
      <c r="K48" s="2">
        <v>152</v>
      </c>
      <c r="L48" s="51"/>
      <c r="M48" s="54" t="s">
        <v>35</v>
      </c>
      <c r="N48" s="54">
        <f>(G48 * IFERROR(VLOOKUP(H48,PostWorkoutTable[],2,FALSE),0)) + (G49 * IFERROR(VLOOKUP(H49,PostWorkoutTable[],2,FALSE),0)) + (G50 * IFERROR(VLOOKUP(H50,PostWorkoutTable[],2,FALSE),0)) + (G51 * IFERROR(VLOOKUP(H51,PostWorkoutTable[],2,FALSE),0))</f>
        <v>0</v>
      </c>
      <c r="O48" s="54">
        <f>(G48 * IFERROR(VLOOKUP(H48,PostWorkoutTable[],3,FALSE),0)) + (G49 * IFERROR(VLOOKUP(H49,PostWorkoutTable[],3,FALSE),0)) + (G50 * IFERROR(VLOOKUP(H50,PostWorkoutTable[],3,FALSE),0)) + (G51 * IFERROR(VLOOKUP(H51,PostWorkoutTable[],3,FALSE),0))</f>
        <v>0</v>
      </c>
      <c r="P48" s="54">
        <f>(G48 * IFERROR(VLOOKUP(H48,PostWorkoutTable[],4,FALSE),0)) + (G49 * IFERROR(VLOOKUP(H49,PostWorkoutTable[],4,FALSE),0)) + (G50 * IFERROR(VLOOKUP(H50,PostWorkoutTable[],4,FALSE),0)) + (G51 * IFERROR(VLOOKUP(H51,PostWorkoutTable[],4,FALSE),0))</f>
        <v>0</v>
      </c>
    </row>
    <row r="49" spans="1:16" x14ac:dyDescent="0.25">
      <c r="A49" s="17"/>
      <c r="B49" s="17"/>
      <c r="C49" s="17"/>
      <c r="D49" s="17"/>
      <c r="E49" s="17"/>
      <c r="F49" s="17"/>
      <c r="G49" s="17"/>
      <c r="H49" s="17"/>
      <c r="I49" s="2">
        <v>29</v>
      </c>
      <c r="J49" s="2">
        <v>42</v>
      </c>
      <c r="K49" s="2">
        <v>40</v>
      </c>
      <c r="L49" s="51"/>
      <c r="M49" s="54" t="s">
        <v>21</v>
      </c>
      <c r="N49" s="54">
        <f xml:space="preserve"> SUM(I48:I51)</f>
        <v>60.2</v>
      </c>
      <c r="O49" s="54">
        <f>SUM(J48:J51)</f>
        <v>118</v>
      </c>
      <c r="P49" s="54">
        <f>SUM(K48:K51)</f>
        <v>192</v>
      </c>
    </row>
    <row r="50" spans="1:16" x14ac:dyDescent="0.25">
      <c r="A50" s="17"/>
      <c r="B50" s="17"/>
      <c r="C50" s="17"/>
      <c r="D50" s="17"/>
      <c r="E50" s="17"/>
      <c r="F50" s="17"/>
      <c r="G50" s="17"/>
      <c r="H50" s="17"/>
      <c r="I50" s="2"/>
      <c r="J50" s="2"/>
      <c r="K50" s="2"/>
      <c r="L50" s="51"/>
      <c r="M50" s="54" t="s">
        <v>38</v>
      </c>
      <c r="N50" s="54">
        <f>SUM(N45:N49)</f>
        <v>80.2</v>
      </c>
      <c r="O50" s="54">
        <f>SUM(O45:O49)</f>
        <v>128</v>
      </c>
      <c r="P50" s="54">
        <f>SUM(P45:P49)</f>
        <v>213</v>
      </c>
    </row>
    <row r="51" spans="1:16" x14ac:dyDescent="0.25">
      <c r="A51" s="17"/>
      <c r="B51" s="17"/>
      <c r="C51" s="17"/>
      <c r="D51" s="17"/>
      <c r="E51" s="17"/>
      <c r="F51" s="17"/>
      <c r="G51" s="17"/>
      <c r="H51" s="17"/>
      <c r="I51" s="2"/>
      <c r="J51" s="2"/>
      <c r="K51" s="2"/>
      <c r="L51" s="51"/>
      <c r="M51" s="51"/>
      <c r="N51" s="51"/>
      <c r="O51" s="51"/>
      <c r="P51" s="51"/>
    </row>
    <row r="52" spans="1:16" x14ac:dyDescent="0.25">
      <c r="A52" s="51"/>
      <c r="B52" s="51"/>
      <c r="C52" s="51"/>
      <c r="D52" s="51"/>
      <c r="E52" s="51"/>
      <c r="F52" s="51"/>
      <c r="G52" s="51"/>
      <c r="H52" s="51"/>
      <c r="I52" s="51">
        <f>SUM(I48:I51)</f>
        <v>60.2</v>
      </c>
      <c r="J52" s="51">
        <f>SUM(J48:J51)</f>
        <v>118</v>
      </c>
      <c r="K52" s="51">
        <f>SUM(K48:K51)</f>
        <v>192</v>
      </c>
      <c r="L52" s="51"/>
      <c r="M52" s="51"/>
      <c r="N52" s="51"/>
      <c r="O52" s="51"/>
      <c r="P52" s="51"/>
    </row>
    <row r="53" spans="1:16" ht="23.25" x14ac:dyDescent="0.35">
      <c r="A53" s="56">
        <v>43561</v>
      </c>
      <c r="B53" s="55"/>
      <c r="C53" s="55"/>
      <c r="D53" s="55"/>
      <c r="E53" s="55"/>
      <c r="F53" s="51"/>
      <c r="G53" s="51"/>
      <c r="H53" s="51"/>
      <c r="I53" s="51"/>
      <c r="J53" s="51"/>
      <c r="K53" s="51"/>
      <c r="L53" s="51"/>
      <c r="M53" s="51"/>
      <c r="N53" s="51"/>
      <c r="O53" s="51"/>
      <c r="P53" s="51"/>
    </row>
    <row r="54" spans="1:16" ht="18" thickBot="1" x14ac:dyDescent="0.35">
      <c r="A54" s="3" t="s">
        <v>48</v>
      </c>
      <c r="B54" s="3" t="s">
        <v>0</v>
      </c>
      <c r="C54" s="3" t="s">
        <v>36</v>
      </c>
      <c r="D54" s="3" t="s">
        <v>8</v>
      </c>
      <c r="E54" s="5" t="s">
        <v>9</v>
      </c>
      <c r="F54" s="5" t="s">
        <v>10</v>
      </c>
      <c r="G54" s="52"/>
      <c r="H54" s="53"/>
      <c r="I54" s="51"/>
      <c r="J54" s="51"/>
      <c r="K54" s="51"/>
      <c r="L54" s="51"/>
      <c r="M54" s="52"/>
      <c r="N54" s="54" t="s">
        <v>8</v>
      </c>
      <c r="O54" s="54" t="s">
        <v>9</v>
      </c>
      <c r="P54" s="54" t="s">
        <v>10</v>
      </c>
    </row>
    <row r="55" spans="1:16" ht="15.75" thickTop="1" x14ac:dyDescent="0.25">
      <c r="A55" s="18">
        <v>43556</v>
      </c>
      <c r="B55" s="16">
        <f>IFERROR(VLOOKUP(A55,OverviewTable[],2,FALSE),"?")</f>
        <v>130</v>
      </c>
      <c r="C55" s="16" t="str">
        <f>((N60 * 4) + (O60 * 9) + (P60 * 4))&amp;"/"&amp;IFERROR(VLOOKUP(A55,OverviewTable[],11,FALSE),"?")</f>
        <v>2186.5/2330</v>
      </c>
      <c r="D55" s="16" t="str">
        <f>N60&amp;"/"&amp;IFERROR(VLOOKUP(A55,OverviewTable[],12,FALSE),"?")</f>
        <v>123.7/130</v>
      </c>
      <c r="E55" s="16" t="str">
        <f>O60&amp;"/"&amp;IFERROR(VLOOKUP(A55,OverviewTable[],13,FALSE),"?")</f>
        <v>84.9/65</v>
      </c>
      <c r="F55" s="16" t="str">
        <f>P60&amp;"/"&amp;IFERROR(VLOOKUP(A55,OverviewTable[],14,FALSE),"?")</f>
        <v>231.9/306</v>
      </c>
      <c r="G55" s="53"/>
      <c r="H55" s="53"/>
      <c r="I55" s="51"/>
      <c r="J55" s="51"/>
      <c r="K55" s="51"/>
      <c r="L55" s="51"/>
      <c r="M55" s="54" t="s">
        <v>6</v>
      </c>
      <c r="N55" s="54">
        <f>(A58 * IFERROR(VLOOKUP(B58,BreakfastTable[],2,FALSE),0)) + (A59 * IFERROR(VLOOKUP(B59,BreakfastTable[],2,FALSE),0)) + (A60 * IFERROR(VLOOKUP(B60,BreakfastTable[],2,FALSE),0)) + (A61 * IFERROR(VLOOKUP(B61,BreakfastTable[],2,FALSE),0))</f>
        <v>32.200000000000003</v>
      </c>
      <c r="O55" s="54">
        <f>(A58 * IFERROR(VLOOKUP(B58,BreakfastTable[],3,FALSE),0)) + (A59 * IFERROR(VLOOKUP(B59,BreakfastTable[],3,FALSE),0)) + (A60 * IFERROR(VLOOKUP(B60,BreakfastTable[],3,FALSE),0)) + (A61 * IFERROR(VLOOKUP(B61,BreakfastTable[],3,FALSE),0))</f>
        <v>14.9</v>
      </c>
      <c r="P55" s="54">
        <f>(A58 * IFERROR(VLOOKUP(B58,BreakfastTable[],4,FALSE),0)) + (A59 * IFERROR(VLOOKUP(B59,BreakfastTable[],4,FALSE),0)) + (A60 * IFERROR(VLOOKUP(B60,BreakfastTable[],4,FALSE),0)) + (A61 * IFERROR(VLOOKUP(B61,BreakfastTable[],4,FALSE),0))</f>
        <v>50.4</v>
      </c>
    </row>
    <row r="56" spans="1:16" x14ac:dyDescent="0.25">
      <c r="A56" s="17"/>
      <c r="B56" s="17"/>
      <c r="C56" s="17"/>
      <c r="D56" s="17"/>
      <c r="E56" s="17"/>
      <c r="F56" s="17"/>
      <c r="G56" s="53"/>
      <c r="H56" s="53"/>
      <c r="I56" s="51"/>
      <c r="J56" s="51"/>
      <c r="K56" s="51"/>
      <c r="L56" s="51"/>
      <c r="M56" s="54" t="s">
        <v>11</v>
      </c>
      <c r="N56" s="54">
        <f>(C58 * IFERROR(VLOOKUP(D58,LunchTable[],2,FALSE),0)) + (C59 * IFERROR(VLOOKUP(D59,LunchTable[],2,FALSE),0)) + (C60 * IFERROR(VLOOKUP(D60,LunchTable[],2,FALSE),0)) + (C61 * IFERROR(VLOOKUP(D61,LunchTable[],2,FALSE),0))</f>
        <v>0</v>
      </c>
      <c r="O56" s="54">
        <f>(C58 * IFERROR(VLOOKUP(D58,LunchTable[],3,FALSE),0)) + (C59 * IFERROR(VLOOKUP(D59,LunchTable[],3,FALSE),0)) + (C60 * IFERROR(VLOOKUP(D60,LunchTable[],3,FALSE),0)) + (C61 * IFERROR(VLOOKUP(D61,LunchTable[],3,FALSE),0))</f>
        <v>0</v>
      </c>
      <c r="P56" s="54">
        <f>(C58 * IFERROR(VLOOKUP(D58,LunchTable[],4,FALSE),0)) + (C59 * IFERROR(VLOOKUP(D59,LunchTable[],4,FALSE),0)) + (C60 * IFERROR(VLOOKUP(D60,LunchTable[],4,FALSE),0)) + (C61 * IFERROR(VLOOKUP(D61,LunchTable[],4,FALSE),0))</f>
        <v>44</v>
      </c>
    </row>
    <row r="57" spans="1:16" ht="18" thickBot="1" x14ac:dyDescent="0.35">
      <c r="A57" s="10" t="s">
        <v>34</v>
      </c>
      <c r="B57" s="11" t="s">
        <v>6</v>
      </c>
      <c r="C57" s="10" t="s">
        <v>34</v>
      </c>
      <c r="D57" s="11" t="s">
        <v>11</v>
      </c>
      <c r="E57" s="10" t="s">
        <v>34</v>
      </c>
      <c r="F57" s="11" t="s">
        <v>12</v>
      </c>
      <c r="G57" s="10" t="s">
        <v>34</v>
      </c>
      <c r="H57" s="12" t="s">
        <v>35</v>
      </c>
      <c r="I57" s="5" t="s">
        <v>41</v>
      </c>
      <c r="J57" s="5" t="s">
        <v>42</v>
      </c>
      <c r="K57" s="5" t="s">
        <v>43</v>
      </c>
      <c r="L57" s="51"/>
      <c r="M57" s="54" t="s">
        <v>12</v>
      </c>
      <c r="N57" s="54">
        <f>(E58 * IFERROR(VLOOKUP(F58,DinnerTable[],2,FALSE),0)) + (E59 * IFERROR(VLOOKUP(F59,DinnerTable[],2,FALSE),0)) + (E60 * IFERROR(VLOOKUP(F60,DinnerTable[],2,FALSE),0)) + (E61 * IFERROR(VLOOKUP(F61,DinnerTable[],2,FALSE),0))</f>
        <v>61</v>
      </c>
      <c r="O57" s="54">
        <f>(E58 * IFERROR(VLOOKUP(F58,DinnerTable[],3,FALSE),0)) + (E59 * IFERROR(VLOOKUP(F59,DinnerTable[],3,FALSE),0)) + (E60 * IFERROR(VLOOKUP(F60,DinnerTable[],3,FALSE),0)) + (E61 * IFERROR(VLOOKUP(F61,DinnerTable[],3,FALSE),0))</f>
        <v>43</v>
      </c>
      <c r="P57" s="54">
        <f>(E58 * IFERROR(VLOOKUP(F58,DinnerTable[],4,FALSE),0)) + (E59 * IFERROR(VLOOKUP(F59,DinnerTable[],4,FALSE),0)) + (E60 * IFERROR(VLOOKUP(F60,DinnerTable[],4,FALSE),0)) + (E61 * IFERROR(VLOOKUP(F61,DinnerTable[],4,FALSE),0))</f>
        <v>56</v>
      </c>
    </row>
    <row r="58" spans="1:16" ht="15.75" thickTop="1" x14ac:dyDescent="0.25">
      <c r="A58" s="17">
        <v>1</v>
      </c>
      <c r="B58" s="17" t="s">
        <v>96</v>
      </c>
      <c r="C58" s="17">
        <v>1</v>
      </c>
      <c r="D58" s="17" t="s">
        <v>100</v>
      </c>
      <c r="E58" s="17">
        <v>1</v>
      </c>
      <c r="F58" s="17" t="s">
        <v>50</v>
      </c>
      <c r="G58" s="17"/>
      <c r="H58" s="17"/>
      <c r="I58" s="2">
        <v>16</v>
      </c>
      <c r="J58" s="2">
        <v>20</v>
      </c>
      <c r="K58" s="2">
        <v>48</v>
      </c>
      <c r="L58" s="51"/>
      <c r="M58" s="54" t="s">
        <v>35</v>
      </c>
      <c r="N58" s="54">
        <f>(G58 * IFERROR(VLOOKUP(H58,PostWorkoutTable[],2,FALSE),0)) + (G59 * IFERROR(VLOOKUP(H59,PostWorkoutTable[],2,FALSE),0)) + (G60 * IFERROR(VLOOKUP(H60,PostWorkoutTable[],2,FALSE),0)) + (G61 * IFERROR(VLOOKUP(H61,PostWorkoutTable[],2,FALSE),0))</f>
        <v>0</v>
      </c>
      <c r="O58" s="54">
        <f>(G58 * IFERROR(VLOOKUP(H58,PostWorkoutTable[],3,FALSE),0)) + (G59 * IFERROR(VLOOKUP(H59,PostWorkoutTable[],3,FALSE),0)) + (G60 * IFERROR(VLOOKUP(H60,PostWorkoutTable[],3,FALSE),0)) + (G61 * IFERROR(VLOOKUP(H61,PostWorkoutTable[],3,FALSE),0))</f>
        <v>0</v>
      </c>
      <c r="P58" s="54">
        <f>(G58 * IFERROR(VLOOKUP(H58,PostWorkoutTable[],4,FALSE),0)) + (G59 * IFERROR(VLOOKUP(H59,PostWorkoutTable[],4,FALSE),0)) + (G60 * IFERROR(VLOOKUP(H60,PostWorkoutTable[],4,FALSE),0)) + (G61 * IFERROR(VLOOKUP(H61,PostWorkoutTable[],4,FALSE),0))</f>
        <v>0</v>
      </c>
    </row>
    <row r="59" spans="1:16" x14ac:dyDescent="0.25">
      <c r="A59" s="17"/>
      <c r="B59" s="17"/>
      <c r="C59" s="17"/>
      <c r="D59" s="17"/>
      <c r="E59" s="17">
        <v>2</v>
      </c>
      <c r="F59" s="17" t="s">
        <v>65</v>
      </c>
      <c r="G59" s="17"/>
      <c r="H59" s="17"/>
      <c r="I59" s="2">
        <v>14.5</v>
      </c>
      <c r="J59" s="2">
        <v>7</v>
      </c>
      <c r="K59" s="2">
        <v>33.5</v>
      </c>
      <c r="L59" s="51"/>
      <c r="M59" s="54" t="s">
        <v>21</v>
      </c>
      <c r="N59" s="54">
        <f xml:space="preserve"> SUM(I58:I61)</f>
        <v>30.5</v>
      </c>
      <c r="O59" s="54">
        <f>SUM(J58:J61)</f>
        <v>27</v>
      </c>
      <c r="P59" s="54">
        <f>SUM(K58:K61)</f>
        <v>81.5</v>
      </c>
    </row>
    <row r="60" spans="1:16" x14ac:dyDescent="0.25">
      <c r="A60" s="17"/>
      <c r="B60" s="17"/>
      <c r="C60" s="17"/>
      <c r="D60" s="17"/>
      <c r="E60" s="17">
        <v>2</v>
      </c>
      <c r="F60" s="17" t="s">
        <v>66</v>
      </c>
      <c r="G60" s="17"/>
      <c r="H60" s="17"/>
      <c r="I60" s="2"/>
      <c r="J60" s="2"/>
      <c r="K60" s="2"/>
      <c r="L60" s="51"/>
      <c r="M60" s="54" t="s">
        <v>38</v>
      </c>
      <c r="N60" s="54">
        <f>SUM(N55:N59)</f>
        <v>123.7</v>
      </c>
      <c r="O60" s="54">
        <f>SUM(O55:O59)</f>
        <v>84.9</v>
      </c>
      <c r="P60" s="54">
        <f>SUM(P55:P59)</f>
        <v>231.9</v>
      </c>
    </row>
    <row r="61" spans="1:16" x14ac:dyDescent="0.25">
      <c r="A61" s="17"/>
      <c r="B61" s="17"/>
      <c r="C61" s="17"/>
      <c r="D61" s="17"/>
      <c r="E61" s="17"/>
      <c r="F61" s="17"/>
      <c r="G61" s="17"/>
      <c r="H61" s="17"/>
      <c r="I61" s="2"/>
      <c r="J61" s="2"/>
      <c r="K61" s="2"/>
      <c r="L61" s="51"/>
      <c r="M61" s="51"/>
      <c r="N61" s="51"/>
      <c r="O61" s="51"/>
      <c r="P61" s="51"/>
    </row>
    <row r="62" spans="1:16" x14ac:dyDescent="0.25">
      <c r="A62" s="51"/>
      <c r="B62" s="51"/>
      <c r="C62" s="51"/>
      <c r="D62" s="51"/>
      <c r="E62" s="51"/>
      <c r="F62" s="51"/>
      <c r="G62" s="51"/>
      <c r="H62" s="51"/>
      <c r="I62" s="51">
        <f>SUM(I58:I61)</f>
        <v>30.5</v>
      </c>
      <c r="J62" s="51">
        <f>SUM(J58:J61)</f>
        <v>27</v>
      </c>
      <c r="K62" s="51">
        <f>SUM(K58:K61)</f>
        <v>81.5</v>
      </c>
      <c r="L62" s="51"/>
      <c r="M62" s="51"/>
      <c r="N62" s="51"/>
      <c r="O62" s="51"/>
      <c r="P62" s="51"/>
    </row>
    <row r="63" spans="1:16" ht="23.25" x14ac:dyDescent="0.35">
      <c r="A63" s="56">
        <v>43562</v>
      </c>
      <c r="B63" s="55"/>
      <c r="C63" s="55"/>
      <c r="D63" s="55"/>
      <c r="E63" s="55"/>
      <c r="F63" s="51"/>
      <c r="G63" s="51"/>
      <c r="H63" s="51"/>
      <c r="I63" s="51"/>
      <c r="J63" s="51"/>
      <c r="K63" s="51"/>
      <c r="L63" s="51"/>
      <c r="M63" s="51"/>
      <c r="N63" s="51"/>
      <c r="O63" s="51"/>
      <c r="P63" s="51"/>
    </row>
    <row r="64" spans="1:16" ht="18" thickBot="1" x14ac:dyDescent="0.35">
      <c r="A64" s="3" t="s">
        <v>48</v>
      </c>
      <c r="B64" s="3" t="s">
        <v>0</v>
      </c>
      <c r="C64" s="3" t="s">
        <v>36</v>
      </c>
      <c r="D64" s="3" t="s">
        <v>8</v>
      </c>
      <c r="E64" s="5" t="s">
        <v>9</v>
      </c>
      <c r="F64" s="5" t="s">
        <v>10</v>
      </c>
      <c r="G64" s="52"/>
      <c r="H64" s="53"/>
      <c r="I64" s="51"/>
      <c r="J64" s="51"/>
      <c r="K64" s="51"/>
      <c r="L64" s="51"/>
      <c r="M64" s="52"/>
      <c r="N64" s="54" t="s">
        <v>8</v>
      </c>
      <c r="O64" s="54" t="s">
        <v>9</v>
      </c>
      <c r="P64" s="54" t="s">
        <v>10</v>
      </c>
    </row>
    <row r="65" spans="1:16" ht="15.75" thickTop="1" x14ac:dyDescent="0.25">
      <c r="A65" s="18">
        <v>43556</v>
      </c>
      <c r="B65" s="16">
        <f>IFERROR(VLOOKUP(A65,OverviewTable[],2,FALSE),"?")</f>
        <v>130</v>
      </c>
      <c r="C65" s="16" t="str">
        <f>((N70 * 4) + (O70 * 9) + (P70 * 4))&amp;"/"&amp;IFERROR(VLOOKUP(A65,OverviewTable[],11,FALSE),"?")</f>
        <v>1831.4/2330</v>
      </c>
      <c r="D65" s="16" t="str">
        <f>N70&amp;"/"&amp;IFERROR(VLOOKUP(A65,OverviewTable[],12,FALSE),"?")</f>
        <v>87.5/130</v>
      </c>
      <c r="E65" s="16" t="str">
        <f>O70&amp;"/"&amp;IFERROR(VLOOKUP(A65,OverviewTable[],13,FALSE),"?")</f>
        <v>73.8/65</v>
      </c>
      <c r="F65" s="16" t="str">
        <f>P70&amp;"/"&amp;IFERROR(VLOOKUP(A65,OverviewTable[],14,FALSE),"?")</f>
        <v>204.3/306</v>
      </c>
      <c r="G65" s="53"/>
      <c r="H65" s="53"/>
      <c r="I65" s="51"/>
      <c r="J65" s="51"/>
      <c r="K65" s="51"/>
      <c r="L65" s="51"/>
      <c r="M65" s="54" t="s">
        <v>6</v>
      </c>
      <c r="N65" s="54">
        <f>(A68 * IFERROR(VLOOKUP(B68,BreakfastTable[],2,FALSE),0)) + (A69 * IFERROR(VLOOKUP(B69,BreakfastTable[],2,FALSE),0)) + (A70 * IFERROR(VLOOKUP(B70,BreakfastTable[],2,FALSE),0)) + (A71 * IFERROR(VLOOKUP(B71,BreakfastTable[],2,FALSE),0))</f>
        <v>20</v>
      </c>
      <c r="O65" s="54">
        <f>(A68 * IFERROR(VLOOKUP(B68,BreakfastTable[],3,FALSE),0)) + (A69 * IFERROR(VLOOKUP(B69,BreakfastTable[],3,FALSE),0)) + (A70 * IFERROR(VLOOKUP(B70,BreakfastTable[],3,FALSE),0)) + (A71 * IFERROR(VLOOKUP(B71,BreakfastTable[],3,FALSE),0))</f>
        <v>10</v>
      </c>
      <c r="P65" s="54">
        <f>(A68 * IFERROR(VLOOKUP(B68,BreakfastTable[],4,FALSE),0)) + (A69 * IFERROR(VLOOKUP(B69,BreakfastTable[],4,FALSE),0)) + (A70 * IFERROR(VLOOKUP(B70,BreakfastTable[],4,FALSE),0)) + (A71 * IFERROR(VLOOKUP(B71,BreakfastTable[],4,FALSE),0))</f>
        <v>21</v>
      </c>
    </row>
    <row r="66" spans="1:16" x14ac:dyDescent="0.25">
      <c r="A66" s="17"/>
      <c r="B66" s="17"/>
      <c r="C66" s="17"/>
      <c r="D66" s="17"/>
      <c r="E66" s="17"/>
      <c r="F66" s="17"/>
      <c r="G66" s="53"/>
      <c r="H66" s="53"/>
      <c r="I66" s="51"/>
      <c r="J66" s="51"/>
      <c r="K66" s="51"/>
      <c r="L66" s="51"/>
      <c r="M66" s="54" t="s">
        <v>11</v>
      </c>
      <c r="N66" s="54">
        <f>(C68 * IFERROR(VLOOKUP(D68,LunchTable[],2,FALSE),0)) + (C69 * IFERROR(VLOOKUP(D69,LunchTable[],2,FALSE),0)) + (C70 * IFERROR(VLOOKUP(D70,LunchTable[],2,FALSE),0)) + (C71 * IFERROR(VLOOKUP(D71,LunchTable[],2,FALSE),0))</f>
        <v>35</v>
      </c>
      <c r="O66" s="54">
        <f>(C68 * IFERROR(VLOOKUP(D68,LunchTable[],3,FALSE),0)) + (C69 * IFERROR(VLOOKUP(D69,LunchTable[],3,FALSE),0)) + (C70 * IFERROR(VLOOKUP(D70,LunchTable[],3,FALSE),0)) + (C71 * IFERROR(VLOOKUP(D71,LunchTable[],3,FALSE),0))</f>
        <v>50</v>
      </c>
      <c r="P66" s="54">
        <f>(C68 * IFERROR(VLOOKUP(D68,LunchTable[],4,FALSE),0)) + (C69 * IFERROR(VLOOKUP(D69,LunchTable[],4,FALSE),0)) + (C70 * IFERROR(VLOOKUP(D70,LunchTable[],4,FALSE),0)) + (C71 * IFERROR(VLOOKUP(D71,LunchTable[],4,FALSE),0))</f>
        <v>60</v>
      </c>
    </row>
    <row r="67" spans="1:16" ht="18" thickBot="1" x14ac:dyDescent="0.35">
      <c r="A67" s="10" t="s">
        <v>34</v>
      </c>
      <c r="B67" s="11" t="s">
        <v>6</v>
      </c>
      <c r="C67" s="10" t="s">
        <v>34</v>
      </c>
      <c r="D67" s="11" t="s">
        <v>11</v>
      </c>
      <c r="E67" s="10" t="s">
        <v>34</v>
      </c>
      <c r="F67" s="11" t="s">
        <v>12</v>
      </c>
      <c r="G67" s="10" t="s">
        <v>34</v>
      </c>
      <c r="H67" s="12" t="s">
        <v>35</v>
      </c>
      <c r="I67" s="5" t="s">
        <v>41</v>
      </c>
      <c r="J67" s="5" t="s">
        <v>42</v>
      </c>
      <c r="K67" s="5" t="s">
        <v>43</v>
      </c>
      <c r="L67" s="51"/>
      <c r="M67" s="54" t="s">
        <v>12</v>
      </c>
      <c r="N67" s="54">
        <f>(E68 * IFERROR(VLOOKUP(F68,DinnerTable[],2,FALSE),0)) + (E69 * IFERROR(VLOOKUP(F69,DinnerTable[],2,FALSE),0)) + (E70 * IFERROR(VLOOKUP(F70,DinnerTable[],2,FALSE),0)) + (E71 * IFERROR(VLOOKUP(F71,DinnerTable[],2,FALSE),0))</f>
        <v>27.6</v>
      </c>
      <c r="O67" s="54">
        <f>(E68 * IFERROR(VLOOKUP(F68,DinnerTable[],3,FALSE),0)) + (E69 * IFERROR(VLOOKUP(F69,DinnerTable[],3,FALSE),0)) + (E70 * IFERROR(VLOOKUP(F70,DinnerTable[],3,FALSE),0)) + (E71 * IFERROR(VLOOKUP(F71,DinnerTable[],3,FALSE),0))</f>
        <v>6.3</v>
      </c>
      <c r="P67" s="54">
        <f>(E68 * IFERROR(VLOOKUP(F68,DinnerTable[],4,FALSE),0)) + (E69 * IFERROR(VLOOKUP(F69,DinnerTable[],4,FALSE),0)) + (E70 * IFERROR(VLOOKUP(F70,DinnerTable[],4,FALSE),0)) + (E71 * IFERROR(VLOOKUP(F71,DinnerTable[],4,FALSE),0))</f>
        <v>6.2</v>
      </c>
    </row>
    <row r="68" spans="1:16" ht="15.75" thickTop="1" x14ac:dyDescent="0.25">
      <c r="A68" s="17">
        <v>1</v>
      </c>
      <c r="B68" s="17" t="s">
        <v>105</v>
      </c>
      <c r="C68" s="17">
        <v>0.5</v>
      </c>
      <c r="D68" s="17" t="s">
        <v>28</v>
      </c>
      <c r="E68" s="17">
        <v>1</v>
      </c>
      <c r="F68" s="17" t="s">
        <v>63</v>
      </c>
      <c r="G68" s="17"/>
      <c r="H68" s="17"/>
      <c r="I68" s="2">
        <v>0</v>
      </c>
      <c r="J68" s="2">
        <v>0</v>
      </c>
      <c r="K68" s="2">
        <v>81</v>
      </c>
      <c r="L68" s="51"/>
      <c r="M68" s="54" t="s">
        <v>35</v>
      </c>
      <c r="N68" s="54">
        <f>(G68 * IFERROR(VLOOKUP(H68,PostWorkoutTable[],2,FALSE),0)) + (G69 * IFERROR(VLOOKUP(H69,PostWorkoutTable[],2,FALSE),0)) + (G70 * IFERROR(VLOOKUP(H70,PostWorkoutTable[],2,FALSE),0)) + (G71 * IFERROR(VLOOKUP(H71,PostWorkoutTable[],2,FALSE),0))</f>
        <v>0</v>
      </c>
      <c r="O68" s="54">
        <f>(G68 * IFERROR(VLOOKUP(H68,PostWorkoutTable[],3,FALSE),0)) + (G69 * IFERROR(VLOOKUP(H69,PostWorkoutTable[],3,FALSE),0)) + (G70 * IFERROR(VLOOKUP(H70,PostWorkoutTable[],3,FALSE),0)) + (G71 * IFERROR(VLOOKUP(H71,PostWorkoutTable[],3,FALSE),0))</f>
        <v>0</v>
      </c>
      <c r="P68" s="54">
        <f>(G68 * IFERROR(VLOOKUP(H68,PostWorkoutTable[],4,FALSE),0)) + (G69 * IFERROR(VLOOKUP(H69,PostWorkoutTable[],4,FALSE),0)) + (G70 * IFERROR(VLOOKUP(H70,PostWorkoutTable[],4,FALSE),0)) + (G71 * IFERROR(VLOOKUP(H71,PostWorkoutTable[],4,FALSE),0))</f>
        <v>0</v>
      </c>
    </row>
    <row r="69" spans="1:16" x14ac:dyDescent="0.25">
      <c r="A69" s="17"/>
      <c r="B69" s="17"/>
      <c r="C69" s="17"/>
      <c r="D69" s="17"/>
      <c r="E69" s="17">
        <v>1</v>
      </c>
      <c r="F69" s="17" t="s">
        <v>62</v>
      </c>
      <c r="G69" s="17"/>
      <c r="H69" s="17"/>
      <c r="I69" s="2">
        <v>2.9</v>
      </c>
      <c r="J69" s="2">
        <v>1</v>
      </c>
      <c r="K69" s="2">
        <v>18.600000000000001</v>
      </c>
      <c r="L69" s="51"/>
      <c r="M69" s="54" t="s">
        <v>21</v>
      </c>
      <c r="N69" s="54">
        <f xml:space="preserve"> SUM(I68:I71)</f>
        <v>4.9000000000000004</v>
      </c>
      <c r="O69" s="54">
        <f>SUM(J68:J71)</f>
        <v>7.5</v>
      </c>
      <c r="P69" s="54">
        <f>SUM(K68:K71)</f>
        <v>117.1</v>
      </c>
    </row>
    <row r="70" spans="1:16" x14ac:dyDescent="0.25">
      <c r="A70" s="17"/>
      <c r="B70" s="17"/>
      <c r="C70" s="17"/>
      <c r="D70" s="17"/>
      <c r="E70" s="17"/>
      <c r="F70" s="17"/>
      <c r="G70" s="17"/>
      <c r="H70" s="17"/>
      <c r="I70" s="2">
        <v>2</v>
      </c>
      <c r="J70" s="2">
        <v>6.5</v>
      </c>
      <c r="K70" s="2">
        <v>17.5</v>
      </c>
      <c r="L70" s="51"/>
      <c r="M70" s="54" t="s">
        <v>38</v>
      </c>
      <c r="N70" s="54">
        <f>SUM(N65:N69)</f>
        <v>87.5</v>
      </c>
      <c r="O70" s="54">
        <f>SUM(O65:O69)</f>
        <v>73.8</v>
      </c>
      <c r="P70" s="54">
        <f>SUM(P65:P69)</f>
        <v>204.3</v>
      </c>
    </row>
    <row r="71" spans="1:16" x14ac:dyDescent="0.25">
      <c r="A71" s="17"/>
      <c r="B71" s="17"/>
      <c r="C71" s="17"/>
      <c r="D71" s="17"/>
      <c r="E71" s="17"/>
      <c r="F71" s="17"/>
      <c r="G71" s="17"/>
      <c r="H71" s="17"/>
      <c r="I71" s="2"/>
      <c r="J71" s="2"/>
      <c r="K71" s="2"/>
      <c r="L71" s="51"/>
      <c r="M71" s="51"/>
      <c r="N71" s="51"/>
      <c r="O71" s="51"/>
      <c r="P71" s="51"/>
    </row>
    <row r="72" spans="1:16" x14ac:dyDescent="0.25">
      <c r="A72" s="51"/>
      <c r="B72" s="51"/>
      <c r="C72" s="51"/>
      <c r="D72" s="51"/>
      <c r="E72" s="51"/>
      <c r="F72" s="51"/>
      <c r="G72" s="51"/>
      <c r="H72" s="51"/>
      <c r="I72" s="51">
        <f>SUM(I68:I71)</f>
        <v>4.9000000000000004</v>
      </c>
      <c r="J72" s="51">
        <f>SUM(J68:J71)</f>
        <v>7.5</v>
      </c>
      <c r="K72" s="51">
        <f>SUM(K68:K71)</f>
        <v>117.1</v>
      </c>
      <c r="L72" s="51"/>
      <c r="M72" s="51"/>
      <c r="N72" s="51"/>
      <c r="O72" s="51"/>
      <c r="P72" s="51"/>
    </row>
    <row r="73" spans="1:16" ht="23.25" x14ac:dyDescent="0.35">
      <c r="A73" s="56">
        <v>43563</v>
      </c>
      <c r="B73" s="55"/>
      <c r="C73" s="55"/>
      <c r="D73" s="55"/>
      <c r="E73" s="55"/>
      <c r="F73" s="51"/>
      <c r="G73" s="51"/>
      <c r="H73" s="51"/>
      <c r="I73" s="51"/>
      <c r="J73" s="51"/>
      <c r="K73" s="51"/>
      <c r="L73" s="51"/>
      <c r="M73" s="51"/>
      <c r="N73" s="51"/>
      <c r="O73" s="51"/>
      <c r="P73" s="51"/>
    </row>
    <row r="74" spans="1:16" ht="18" thickBot="1" x14ac:dyDescent="0.35">
      <c r="A74" s="3" t="s">
        <v>48</v>
      </c>
      <c r="B74" s="3" t="s">
        <v>0</v>
      </c>
      <c r="C74" s="3" t="s">
        <v>36</v>
      </c>
      <c r="D74" s="3" t="s">
        <v>8</v>
      </c>
      <c r="E74" s="5" t="s">
        <v>9</v>
      </c>
      <c r="F74" s="5" t="s">
        <v>10</v>
      </c>
      <c r="G74" s="52"/>
      <c r="H74" s="53"/>
      <c r="I74" s="51"/>
      <c r="J74" s="51"/>
      <c r="K74" s="51"/>
      <c r="L74" s="51"/>
      <c r="M74" s="52"/>
      <c r="N74" s="54" t="s">
        <v>8</v>
      </c>
      <c r="O74" s="54" t="s">
        <v>9</v>
      </c>
      <c r="P74" s="54" t="s">
        <v>10</v>
      </c>
    </row>
    <row r="75" spans="1:16" ht="15.75" thickTop="1" x14ac:dyDescent="0.25">
      <c r="A75" s="18">
        <v>43563</v>
      </c>
      <c r="B75" s="16">
        <f>IFERROR(VLOOKUP(A75,OverviewTable[],2,FALSE),"?")</f>
        <v>130.19999999999999</v>
      </c>
      <c r="C75" s="16" t="str">
        <f>((N80 * 4) + (O80 * 9) + (P80 * 4))&amp;"/"&amp;IFERROR(VLOOKUP(A75,OverviewTable[],11,FALSE),"?")</f>
        <v>2619.5/2333.2</v>
      </c>
      <c r="D75" s="16" t="str">
        <f>N80&amp;"/"&amp;IFERROR(VLOOKUP(A75,OverviewTable[],12,FALSE),"?")</f>
        <v>135.2/130</v>
      </c>
      <c r="E75" s="16" t="str">
        <f>O80&amp;"/"&amp;IFERROR(VLOOKUP(A75,OverviewTable[],13,FALSE),"?")</f>
        <v>85.9/65</v>
      </c>
      <c r="F75" s="16" t="str">
        <f>P80&amp;"/"&amp;IFERROR(VLOOKUP(A75,OverviewTable[],14,FALSE),"?")</f>
        <v>326.4/307</v>
      </c>
      <c r="G75" s="53"/>
      <c r="H75" s="53"/>
      <c r="I75" s="51"/>
      <c r="J75" s="51"/>
      <c r="K75" s="51"/>
      <c r="L75" s="51"/>
      <c r="M75" s="54" t="s">
        <v>6</v>
      </c>
      <c r="N75" s="54">
        <f>(A78 * IFERROR(VLOOKUP(B78,BreakfastTable[],2,FALSE),0)) + (A79 * IFERROR(VLOOKUP(B79,BreakfastTable[],2,FALSE),0)) + (A80 * IFERROR(VLOOKUP(B80,BreakfastTable[],2,FALSE),0)) + (A81 * IFERROR(VLOOKUP(B81,BreakfastTable[],2,FALSE),0))</f>
        <v>32.200000000000003</v>
      </c>
      <c r="O75" s="54">
        <f>(A78 * IFERROR(VLOOKUP(B78,BreakfastTable[],3,FALSE),0)) + (A79 * IFERROR(VLOOKUP(B79,BreakfastTable[],3,FALSE),0)) + (A80 * IFERROR(VLOOKUP(B80,BreakfastTable[],3,FALSE),0)) + (A81 * IFERROR(VLOOKUP(B81,BreakfastTable[],3,FALSE),0))</f>
        <v>14.9</v>
      </c>
      <c r="P75" s="54">
        <f>(A78 * IFERROR(VLOOKUP(B78,BreakfastTable[],4,FALSE),0)) + (A79 * IFERROR(VLOOKUP(B79,BreakfastTable[],4,FALSE),0)) + (A80 * IFERROR(VLOOKUP(B80,BreakfastTable[],4,FALSE),0)) + (A81 * IFERROR(VLOOKUP(B81,BreakfastTable[],4,FALSE),0))</f>
        <v>50.4</v>
      </c>
    </row>
    <row r="76" spans="1:16" x14ac:dyDescent="0.25">
      <c r="A76" s="17"/>
      <c r="B76" s="17"/>
      <c r="C76" s="17"/>
      <c r="D76" s="17"/>
      <c r="E76" s="17"/>
      <c r="F76" s="17"/>
      <c r="G76" s="53"/>
      <c r="H76" s="53"/>
      <c r="I76" s="51"/>
      <c r="J76" s="51"/>
      <c r="K76" s="51"/>
      <c r="L76" s="51"/>
      <c r="M76" s="54" t="s">
        <v>11</v>
      </c>
      <c r="N76" s="54">
        <f>(C78 * IFERROR(VLOOKUP(D78,LunchTable[],2,FALSE),0)) + (C79 * IFERROR(VLOOKUP(D79,LunchTable[],2,FALSE),0)) + (C80 * IFERROR(VLOOKUP(D80,LunchTable[],2,FALSE),0)) + (C81 * IFERROR(VLOOKUP(D81,LunchTable[],2,FALSE),0))</f>
        <v>35</v>
      </c>
      <c r="O76" s="54">
        <f>(C78 * IFERROR(VLOOKUP(D78,LunchTable[],3,FALSE),0)) + (C79 * IFERROR(VLOOKUP(D79,LunchTable[],3,FALSE),0)) + (C80 * IFERROR(VLOOKUP(D80,LunchTable[],3,FALSE),0)) + (C81 * IFERROR(VLOOKUP(D81,LunchTable[],3,FALSE),0))</f>
        <v>50</v>
      </c>
      <c r="P76" s="54">
        <f>(C78 * IFERROR(VLOOKUP(D78,LunchTable[],4,FALSE),0)) + (C79 * IFERROR(VLOOKUP(D79,LunchTable[],4,FALSE),0)) + (C80 * IFERROR(VLOOKUP(D80,LunchTable[],4,FALSE),0)) + (C81 * IFERROR(VLOOKUP(D81,LunchTable[],4,FALSE),0))</f>
        <v>60</v>
      </c>
    </row>
    <row r="77" spans="1:16" ht="18" thickBot="1" x14ac:dyDescent="0.35">
      <c r="A77" s="10" t="s">
        <v>34</v>
      </c>
      <c r="B77" s="11" t="s">
        <v>6</v>
      </c>
      <c r="C77" s="10" t="s">
        <v>34</v>
      </c>
      <c r="D77" s="11" t="s">
        <v>11</v>
      </c>
      <c r="E77" s="10" t="s">
        <v>34</v>
      </c>
      <c r="F77" s="11" t="s">
        <v>12</v>
      </c>
      <c r="G77" s="10" t="s">
        <v>34</v>
      </c>
      <c r="H77" s="12" t="s">
        <v>35</v>
      </c>
      <c r="I77" s="5" t="s">
        <v>41</v>
      </c>
      <c r="J77" s="5" t="s">
        <v>42</v>
      </c>
      <c r="K77" s="5" t="s">
        <v>43</v>
      </c>
      <c r="L77" s="51"/>
      <c r="M77" s="54" t="s">
        <v>12</v>
      </c>
      <c r="N77" s="54">
        <f>(E78 * IFERROR(VLOOKUP(F78,DinnerTable[],2,FALSE),0)) + (E79 * IFERROR(VLOOKUP(F79,DinnerTable[],2,FALSE),0)) + (E80 * IFERROR(VLOOKUP(F80,DinnerTable[],2,FALSE),0)) + (E81 * IFERROR(VLOOKUP(F81,DinnerTable[],2,FALSE),0))</f>
        <v>48</v>
      </c>
      <c r="O77" s="54">
        <f>(E78 * IFERROR(VLOOKUP(F78,DinnerTable[],3,FALSE),0)) + (E79 * IFERROR(VLOOKUP(F79,DinnerTable[],3,FALSE),0)) + (E80 * IFERROR(VLOOKUP(F80,DinnerTable[],3,FALSE),0)) + (E81 * IFERROR(VLOOKUP(F81,DinnerTable[],3,FALSE),0))</f>
        <v>11</v>
      </c>
      <c r="P77" s="54">
        <f>(E78 * IFERROR(VLOOKUP(F78,DinnerTable[],4,FALSE),0)) + (E79 * IFERROR(VLOOKUP(F79,DinnerTable[],4,FALSE),0)) + (E80 * IFERROR(VLOOKUP(F80,DinnerTable[],4,FALSE),0)) + (E81 * IFERROR(VLOOKUP(F81,DinnerTable[],4,FALSE),0))</f>
        <v>195</v>
      </c>
    </row>
    <row r="78" spans="1:16" ht="15.75" thickTop="1" x14ac:dyDescent="0.25">
      <c r="A78" s="17">
        <v>1</v>
      </c>
      <c r="B78" s="17" t="s">
        <v>96</v>
      </c>
      <c r="C78" s="17">
        <v>0.5</v>
      </c>
      <c r="D78" s="17" t="s">
        <v>28</v>
      </c>
      <c r="E78" s="17">
        <v>1</v>
      </c>
      <c r="F78" s="17" t="s">
        <v>50</v>
      </c>
      <c r="G78" s="17">
        <v>1</v>
      </c>
      <c r="H78" s="17" t="s">
        <v>105</v>
      </c>
      <c r="I78" s="2"/>
      <c r="J78" s="2"/>
      <c r="K78" s="2"/>
      <c r="L78" s="51"/>
      <c r="M78" s="54" t="s">
        <v>35</v>
      </c>
      <c r="N78" s="54">
        <f>(G78 * IFERROR(VLOOKUP(H78,PostWorkoutTable[],2,FALSE),0)) + (G79 * IFERROR(VLOOKUP(H79,PostWorkoutTable[],2,FALSE),0)) + (G80 * IFERROR(VLOOKUP(H80,PostWorkoutTable[],2,FALSE),0)) + (G81 * IFERROR(VLOOKUP(H81,PostWorkoutTable[],2,FALSE),0))</f>
        <v>20</v>
      </c>
      <c r="O78" s="54">
        <f>(G78 * IFERROR(VLOOKUP(H78,PostWorkoutTable[],3,FALSE),0)) + (G79 * IFERROR(VLOOKUP(H79,PostWorkoutTable[],3,FALSE),0)) + (G80 * IFERROR(VLOOKUP(H80,PostWorkoutTable[],3,FALSE),0)) + (G81 * IFERROR(VLOOKUP(H81,PostWorkoutTable[],3,FALSE),0))</f>
        <v>10</v>
      </c>
      <c r="P78" s="54">
        <f>(G78 * IFERROR(VLOOKUP(H78,PostWorkoutTable[],4,FALSE),0)) + (G79 * IFERROR(VLOOKUP(H79,PostWorkoutTable[],4,FALSE),0)) + (G80 * IFERROR(VLOOKUP(H80,PostWorkoutTable[],4,FALSE),0)) + (G81 * IFERROR(VLOOKUP(H81,PostWorkoutTable[],4,FALSE),0))</f>
        <v>21</v>
      </c>
    </row>
    <row r="79" spans="1:16" x14ac:dyDescent="0.25">
      <c r="A79" s="17"/>
      <c r="B79" s="17"/>
      <c r="C79" s="17"/>
      <c r="D79" s="17"/>
      <c r="E79" s="17">
        <v>1</v>
      </c>
      <c r="F79" s="17" t="s">
        <v>79</v>
      </c>
      <c r="G79" s="17"/>
      <c r="H79" s="17"/>
      <c r="I79" s="2"/>
      <c r="J79" s="2"/>
      <c r="K79" s="2"/>
      <c r="L79" s="51"/>
      <c r="M79" s="54" t="s">
        <v>21</v>
      </c>
      <c r="N79" s="54">
        <f xml:space="preserve"> SUM(I78:I81)</f>
        <v>0</v>
      </c>
      <c r="O79" s="54">
        <f>SUM(J78:J81)</f>
        <v>0</v>
      </c>
      <c r="P79" s="54">
        <f>SUM(K78:K81)</f>
        <v>0</v>
      </c>
    </row>
    <row r="80" spans="1:16" x14ac:dyDescent="0.25">
      <c r="A80" s="17"/>
      <c r="B80" s="17"/>
      <c r="C80" s="17"/>
      <c r="D80" s="17"/>
      <c r="E80" s="17">
        <v>1</v>
      </c>
      <c r="F80" s="17" t="s">
        <v>23</v>
      </c>
      <c r="G80" s="17"/>
      <c r="H80" s="17"/>
      <c r="I80" s="2"/>
      <c r="J80" s="2"/>
      <c r="K80" s="2"/>
      <c r="L80" s="51"/>
      <c r="M80" s="54" t="s">
        <v>38</v>
      </c>
      <c r="N80" s="54">
        <f>SUM(N75:N79)</f>
        <v>135.19999999999999</v>
      </c>
      <c r="O80" s="54">
        <f>SUM(O75:O79)</f>
        <v>85.9</v>
      </c>
      <c r="P80" s="54">
        <f>SUM(P75:P79)</f>
        <v>326.39999999999998</v>
      </c>
    </row>
    <row r="81" spans="1:16" x14ac:dyDescent="0.25">
      <c r="A81" s="17"/>
      <c r="B81" s="17"/>
      <c r="C81" s="17"/>
      <c r="D81" s="17"/>
      <c r="E81" s="17">
        <v>1</v>
      </c>
      <c r="F81" s="17" t="s">
        <v>64</v>
      </c>
      <c r="G81" s="17"/>
      <c r="H81" s="17"/>
      <c r="I81" s="2"/>
      <c r="J81" s="2"/>
      <c r="K81" s="2"/>
      <c r="L81" s="51"/>
      <c r="M81" s="51"/>
      <c r="N81" s="51"/>
      <c r="O81" s="51"/>
      <c r="P81" s="51"/>
    </row>
    <row r="82" spans="1:16" x14ac:dyDescent="0.25">
      <c r="A82" s="51"/>
      <c r="B82" s="51"/>
      <c r="C82" s="51"/>
      <c r="D82" s="51"/>
      <c r="E82" s="51"/>
      <c r="F82" s="51"/>
      <c r="G82" s="51"/>
      <c r="H82" s="51"/>
      <c r="I82" s="51">
        <f>SUM(I78:I81)</f>
        <v>0</v>
      </c>
      <c r="J82" s="51">
        <f>SUM(J78:J81)</f>
        <v>0</v>
      </c>
      <c r="K82" s="51">
        <f>SUM(K78:K81)</f>
        <v>0</v>
      </c>
      <c r="L82" s="51"/>
      <c r="M82" s="51"/>
      <c r="N82" s="51"/>
      <c r="O82" s="51"/>
      <c r="P82" s="51"/>
    </row>
    <row r="83" spans="1:16" ht="23.25" x14ac:dyDescent="0.35">
      <c r="A83" s="56">
        <v>43564</v>
      </c>
      <c r="B83" s="55"/>
      <c r="C83" s="55"/>
      <c r="D83" s="55"/>
      <c r="E83" s="55"/>
      <c r="F83" s="51"/>
      <c r="G83" s="51"/>
      <c r="H83" s="51"/>
      <c r="I83" s="51"/>
      <c r="J83" s="51"/>
      <c r="K83" s="51"/>
      <c r="L83" s="51"/>
      <c r="M83" s="51"/>
      <c r="N83" s="51"/>
      <c r="O83" s="51"/>
      <c r="P83" s="51"/>
    </row>
    <row r="84" spans="1:16" ht="18" thickBot="1" x14ac:dyDescent="0.35">
      <c r="A84" s="3" t="s">
        <v>48</v>
      </c>
      <c r="B84" s="3" t="s">
        <v>0</v>
      </c>
      <c r="C84" s="3" t="s">
        <v>36</v>
      </c>
      <c r="D84" s="3" t="s">
        <v>8</v>
      </c>
      <c r="E84" s="5" t="s">
        <v>9</v>
      </c>
      <c r="F84" s="5" t="s">
        <v>10</v>
      </c>
      <c r="G84" s="52"/>
      <c r="H84" s="53"/>
      <c r="I84" s="51"/>
      <c r="J84" s="51"/>
      <c r="K84" s="51"/>
      <c r="L84" s="51"/>
      <c r="M84" s="52"/>
      <c r="N84" s="54" t="s">
        <v>8</v>
      </c>
      <c r="O84" s="54" t="s">
        <v>9</v>
      </c>
      <c r="P84" s="54" t="s">
        <v>10</v>
      </c>
    </row>
    <row r="85" spans="1:16" ht="15.75" thickTop="1" x14ac:dyDescent="0.25">
      <c r="A85" s="18">
        <v>43563</v>
      </c>
      <c r="B85" s="16">
        <f>IFERROR(VLOOKUP(A85,OverviewTable[],2,FALSE),"?")</f>
        <v>130.19999999999999</v>
      </c>
      <c r="C85" s="16" t="str">
        <f>((N90 * 4) + (O90 * 9) + (P90 * 4))&amp;"/"&amp;IFERROR(VLOOKUP(A85,OverviewTable[],11,FALSE),"?")</f>
        <v>2186.5/2333.2</v>
      </c>
      <c r="D85" s="16" t="str">
        <f>N90&amp;"/"&amp;IFERROR(VLOOKUP(A85,OverviewTable[],12,FALSE),"?")</f>
        <v>112.4/130</v>
      </c>
      <c r="E85" s="16" t="str">
        <f>O90&amp;"/"&amp;IFERROR(VLOOKUP(A85,OverviewTable[],13,FALSE),"?")</f>
        <v>47.3/65</v>
      </c>
      <c r="F85" s="16" t="str">
        <f>P90&amp;"/"&amp;IFERROR(VLOOKUP(A85,OverviewTable[],14,FALSE),"?")</f>
        <v>327.8/307</v>
      </c>
      <c r="G85" s="53"/>
      <c r="H85" s="53"/>
      <c r="I85" s="51"/>
      <c r="J85" s="51"/>
      <c r="K85" s="51"/>
      <c r="L85" s="51"/>
      <c r="M85" s="54" t="s">
        <v>6</v>
      </c>
      <c r="N85" s="54">
        <f>(A88 * IFERROR(VLOOKUP(B88,BreakfastTable[],2,FALSE),0)) + (A89 * IFERROR(VLOOKUP(B89,BreakfastTable[],2,FALSE),0)) + (A90 * IFERROR(VLOOKUP(B90,BreakfastTable[],2,FALSE),0)) + (A91 * IFERROR(VLOOKUP(B91,BreakfastTable[],2,FALSE),0))</f>
        <v>20</v>
      </c>
      <c r="O85" s="54">
        <f>(A88 * IFERROR(VLOOKUP(B88,BreakfastTable[],3,FALSE),0)) + (A89 * IFERROR(VLOOKUP(B89,BreakfastTable[],3,FALSE),0)) + (A90 * IFERROR(VLOOKUP(B90,BreakfastTable[],3,FALSE),0)) + (A91 * IFERROR(VLOOKUP(B91,BreakfastTable[],3,FALSE),0))</f>
        <v>9</v>
      </c>
      <c r="P85" s="54">
        <f>(A88 * IFERROR(VLOOKUP(B88,BreakfastTable[],4,FALSE),0)) + (A89 * IFERROR(VLOOKUP(B89,BreakfastTable[],4,FALSE),0)) + (A90 * IFERROR(VLOOKUP(B90,BreakfastTable[],4,FALSE),0)) + (A91 * IFERROR(VLOOKUP(B91,BreakfastTable[],4,FALSE),0))</f>
        <v>30</v>
      </c>
    </row>
    <row r="86" spans="1:16" x14ac:dyDescent="0.25">
      <c r="A86" s="17"/>
      <c r="B86" s="17"/>
      <c r="C86" s="17"/>
      <c r="D86" s="17"/>
      <c r="E86" s="17"/>
      <c r="F86" s="17"/>
      <c r="G86" s="53"/>
      <c r="H86" s="53"/>
      <c r="I86" s="51"/>
      <c r="J86" s="51"/>
      <c r="K86" s="51"/>
      <c r="L86" s="51"/>
      <c r="M86" s="54" t="s">
        <v>11</v>
      </c>
      <c r="N86" s="54">
        <f>(C88 * IFERROR(VLOOKUP(D88,LunchTable[],2,FALSE),0)) + (C89 * IFERROR(VLOOKUP(D89,LunchTable[],2,FALSE),0)) + (C90 * IFERROR(VLOOKUP(D90,LunchTable[],2,FALSE),0)) + (C91 * IFERROR(VLOOKUP(D91,LunchTable[],2,FALSE),0))</f>
        <v>62</v>
      </c>
      <c r="O86" s="54">
        <f>(C88 * IFERROR(VLOOKUP(D88,LunchTable[],3,FALSE),0)) + (C89 * IFERROR(VLOOKUP(D89,LunchTable[],3,FALSE),0)) + (C90 * IFERROR(VLOOKUP(D90,LunchTable[],3,FALSE),0)) + (C91 * IFERROR(VLOOKUP(D91,LunchTable[],3,FALSE),0))</f>
        <v>28</v>
      </c>
      <c r="P86" s="54">
        <f>(C88 * IFERROR(VLOOKUP(D88,LunchTable[],4,FALSE),0)) + (C89 * IFERROR(VLOOKUP(D89,LunchTable[],4,FALSE),0)) + (C90 * IFERROR(VLOOKUP(D90,LunchTable[],4,FALSE),0)) + (C91 * IFERROR(VLOOKUP(D91,LunchTable[],4,FALSE),0))</f>
        <v>84</v>
      </c>
    </row>
    <row r="87" spans="1:16" ht="18" thickBot="1" x14ac:dyDescent="0.35">
      <c r="A87" s="10" t="s">
        <v>34</v>
      </c>
      <c r="B87" s="11" t="s">
        <v>6</v>
      </c>
      <c r="C87" s="10" t="s">
        <v>34</v>
      </c>
      <c r="D87" s="11" t="s">
        <v>11</v>
      </c>
      <c r="E87" s="10" t="s">
        <v>34</v>
      </c>
      <c r="F87" s="11" t="s">
        <v>12</v>
      </c>
      <c r="G87" s="10" t="s">
        <v>34</v>
      </c>
      <c r="H87" s="12" t="s">
        <v>35</v>
      </c>
      <c r="I87" s="5" t="s">
        <v>41</v>
      </c>
      <c r="J87" s="5" t="s">
        <v>42</v>
      </c>
      <c r="K87" s="5" t="s">
        <v>43</v>
      </c>
      <c r="L87" s="51"/>
      <c r="M87" s="54" t="s">
        <v>12</v>
      </c>
      <c r="N87" s="54">
        <f>(E88 * IFERROR(VLOOKUP(F88,DinnerTable[],2,FALSE),0)) + (E89 * IFERROR(VLOOKUP(F89,DinnerTable[],2,FALSE),0)) + (E90 * IFERROR(VLOOKUP(F90,DinnerTable[],2,FALSE),0)) + (E91 * IFERROR(VLOOKUP(F91,DinnerTable[],2,FALSE),0))</f>
        <v>26</v>
      </c>
      <c r="O87" s="54">
        <f>(E88 * IFERROR(VLOOKUP(F88,DinnerTable[],3,FALSE),0)) + (E89 * IFERROR(VLOOKUP(F89,DinnerTable[],3,FALSE),0)) + (E90 * IFERROR(VLOOKUP(F90,DinnerTable[],3,FALSE),0)) + (E91 * IFERROR(VLOOKUP(F91,DinnerTable[],3,FALSE),0))</f>
        <v>9</v>
      </c>
      <c r="P87" s="54">
        <f>(E88 * IFERROR(VLOOKUP(F88,DinnerTable[],4,FALSE),0)) + (E89 * IFERROR(VLOOKUP(F89,DinnerTable[],4,FALSE),0)) + (E90 * IFERROR(VLOOKUP(F90,DinnerTable[],4,FALSE),0)) + (E91 * IFERROR(VLOOKUP(F91,DinnerTable[],4,FALSE),0))</f>
        <v>140</v>
      </c>
    </row>
    <row r="88" spans="1:16" ht="15.75" thickTop="1" x14ac:dyDescent="0.25">
      <c r="A88" s="17">
        <v>1</v>
      </c>
      <c r="B88" s="17" t="s">
        <v>26</v>
      </c>
      <c r="C88" s="17">
        <v>4</v>
      </c>
      <c r="D88" s="17" t="s">
        <v>22</v>
      </c>
      <c r="E88" s="17">
        <v>1</v>
      </c>
      <c r="F88" s="17" t="s">
        <v>79</v>
      </c>
      <c r="G88" s="17"/>
      <c r="H88" s="17"/>
      <c r="I88" s="2">
        <v>2.4</v>
      </c>
      <c r="J88" s="2">
        <v>0.3</v>
      </c>
      <c r="K88" s="2">
        <v>7.8</v>
      </c>
      <c r="L88" s="51"/>
      <c r="M88" s="54" t="s">
        <v>35</v>
      </c>
      <c r="N88" s="54">
        <f>(G88 * IFERROR(VLOOKUP(H88,PostWorkoutTable[],2,FALSE),0)) + (G89 * IFERROR(VLOOKUP(H89,PostWorkoutTable[],2,FALSE),0)) + (G90 * IFERROR(VLOOKUP(H90,PostWorkoutTable[],2,FALSE),0)) + (G91 * IFERROR(VLOOKUP(H91,PostWorkoutTable[],2,FALSE),0))</f>
        <v>0</v>
      </c>
      <c r="O88" s="54">
        <f>(G88 * IFERROR(VLOOKUP(H88,PostWorkoutTable[],3,FALSE),0)) + (G89 * IFERROR(VLOOKUP(H89,PostWorkoutTable[],3,FALSE),0)) + (G90 * IFERROR(VLOOKUP(H90,PostWorkoutTable[],3,FALSE),0)) + (G91 * IFERROR(VLOOKUP(H91,PostWorkoutTable[],3,FALSE),0))</f>
        <v>0</v>
      </c>
      <c r="P88" s="54">
        <f>(G88 * IFERROR(VLOOKUP(H88,PostWorkoutTable[],4,FALSE),0)) + (G89 * IFERROR(VLOOKUP(H89,PostWorkoutTable[],4,FALSE),0)) + (G90 * IFERROR(VLOOKUP(H90,PostWorkoutTable[],4,FALSE),0)) + (G91 * IFERROR(VLOOKUP(H91,PostWorkoutTable[],4,FALSE),0))</f>
        <v>0</v>
      </c>
    </row>
    <row r="89" spans="1:16" x14ac:dyDescent="0.25">
      <c r="A89" s="17"/>
      <c r="B89" s="17"/>
      <c r="C89" s="17">
        <v>0.5</v>
      </c>
      <c r="D89" s="17" t="s">
        <v>51</v>
      </c>
      <c r="E89" s="17">
        <v>2</v>
      </c>
      <c r="F89" s="17" t="s">
        <v>29</v>
      </c>
      <c r="G89" s="17"/>
      <c r="H89" s="17"/>
      <c r="I89" s="2">
        <v>2</v>
      </c>
      <c r="J89" s="2">
        <v>1</v>
      </c>
      <c r="K89" s="2">
        <v>66</v>
      </c>
      <c r="L89" s="51"/>
      <c r="M89" s="54" t="s">
        <v>21</v>
      </c>
      <c r="N89" s="54">
        <f xml:space="preserve"> SUM(I88:I91)</f>
        <v>4.4000000000000004</v>
      </c>
      <c r="O89" s="54">
        <f>SUM(J88:J91)</f>
        <v>1.3</v>
      </c>
      <c r="P89" s="54">
        <f>SUM(K88:K91)</f>
        <v>73.8</v>
      </c>
    </row>
    <row r="90" spans="1:16" x14ac:dyDescent="0.25">
      <c r="A90" s="17"/>
      <c r="B90" s="17"/>
      <c r="C90" s="17">
        <v>2</v>
      </c>
      <c r="D90" s="17" t="s">
        <v>90</v>
      </c>
      <c r="E90" s="17"/>
      <c r="F90" s="17"/>
      <c r="G90" s="17"/>
      <c r="H90" s="17"/>
      <c r="I90" s="2"/>
      <c r="J90" s="2"/>
      <c r="K90" s="2"/>
      <c r="L90" s="51"/>
      <c r="M90" s="54" t="s">
        <v>38</v>
      </c>
      <c r="N90" s="54">
        <f>SUM(N85:N89)</f>
        <v>112.4</v>
      </c>
      <c r="O90" s="54">
        <f>SUM(O85:O89)</f>
        <v>47.3</v>
      </c>
      <c r="P90" s="54">
        <f>SUM(P85:P89)</f>
        <v>327.8</v>
      </c>
    </row>
    <row r="91" spans="1:16" x14ac:dyDescent="0.25">
      <c r="A91" s="17"/>
      <c r="B91" s="17"/>
      <c r="C91" s="17"/>
      <c r="D91" s="17"/>
      <c r="E91" s="17"/>
      <c r="F91" s="17"/>
      <c r="G91" s="17"/>
      <c r="H91" s="17"/>
      <c r="I91" s="2"/>
      <c r="J91" s="2"/>
      <c r="K91" s="2"/>
      <c r="L91" s="51"/>
      <c r="M91" s="51"/>
      <c r="N91" s="51"/>
      <c r="O91" s="51"/>
      <c r="P91" s="51"/>
    </row>
    <row r="92" spans="1:16" x14ac:dyDescent="0.25">
      <c r="A92" s="51"/>
      <c r="B92" s="51"/>
      <c r="C92" s="51"/>
      <c r="D92" s="51"/>
      <c r="E92" s="51"/>
      <c r="F92" s="51"/>
      <c r="G92" s="51"/>
      <c r="H92" s="51"/>
      <c r="I92" s="51">
        <f>SUM(I88:I91)</f>
        <v>4.4000000000000004</v>
      </c>
      <c r="J92" s="51">
        <f>SUM(J88:J91)</f>
        <v>1.3</v>
      </c>
      <c r="K92" s="51">
        <f>SUM(K88:K91)</f>
        <v>73.8</v>
      </c>
      <c r="L92" s="51"/>
      <c r="M92" s="51"/>
      <c r="N92" s="51"/>
      <c r="O92" s="51"/>
      <c r="P92" s="51"/>
    </row>
    <row r="93" spans="1:16" ht="23.25" x14ac:dyDescent="0.35">
      <c r="A93" s="56">
        <v>43565</v>
      </c>
      <c r="B93" s="55"/>
      <c r="C93" s="55"/>
      <c r="D93" s="55"/>
      <c r="E93" s="55"/>
      <c r="F93" s="51"/>
      <c r="G93" s="51"/>
      <c r="H93" s="51"/>
      <c r="I93" s="51"/>
      <c r="J93" s="51"/>
      <c r="K93" s="51"/>
      <c r="L93" s="51"/>
      <c r="M93" s="51"/>
      <c r="N93" s="51"/>
      <c r="O93" s="51"/>
      <c r="P93" s="51"/>
    </row>
    <row r="94" spans="1:16" ht="18" thickBot="1" x14ac:dyDescent="0.35">
      <c r="A94" s="3" t="s">
        <v>48</v>
      </c>
      <c r="B94" s="3" t="s">
        <v>0</v>
      </c>
      <c r="C94" s="3" t="s">
        <v>36</v>
      </c>
      <c r="D94" s="3" t="s">
        <v>8</v>
      </c>
      <c r="E94" s="5" t="s">
        <v>9</v>
      </c>
      <c r="F94" s="5" t="s">
        <v>10</v>
      </c>
      <c r="G94" s="52"/>
      <c r="H94" s="53"/>
      <c r="I94" s="51"/>
      <c r="J94" s="51"/>
      <c r="K94" s="51"/>
      <c r="L94" s="51"/>
      <c r="M94" s="52"/>
      <c r="N94" s="54" t="s">
        <v>8</v>
      </c>
      <c r="O94" s="54" t="s">
        <v>9</v>
      </c>
      <c r="P94" s="54" t="s">
        <v>10</v>
      </c>
    </row>
    <row r="95" spans="1:16" ht="15.75" thickTop="1" x14ac:dyDescent="0.25">
      <c r="A95" s="18">
        <v>43563</v>
      </c>
      <c r="B95" s="16">
        <f>IFERROR(VLOOKUP(A95,OverviewTable[],2,FALSE),"?")</f>
        <v>130.19999999999999</v>
      </c>
      <c r="C95" s="16" t="str">
        <f>((N100 * 4) + (O100 * 9) + (P100 * 4))&amp;"/"&amp;IFERROR(VLOOKUP(A95,OverviewTable[],11,FALSE),"?")</f>
        <v>2687.85/2333.2</v>
      </c>
      <c r="D95" s="16" t="str">
        <f>N100&amp;"/"&amp;IFERROR(VLOOKUP(A95,OverviewTable[],12,FALSE),"?")</f>
        <v>179.35/130</v>
      </c>
      <c r="E95" s="16" t="str">
        <f>O100&amp;"/"&amp;IFERROR(VLOOKUP(A95,OverviewTable[],13,FALSE),"?")</f>
        <v>89.25/65</v>
      </c>
      <c r="F95" s="16" t="str">
        <f>P100&amp;"/"&amp;IFERROR(VLOOKUP(A95,OverviewTable[],14,FALSE),"?")</f>
        <v>291.8/307</v>
      </c>
      <c r="G95" s="53"/>
      <c r="H95" s="53"/>
      <c r="I95" s="51"/>
      <c r="J95" s="51"/>
      <c r="K95" s="51"/>
      <c r="L95" s="51"/>
      <c r="M95" s="54" t="s">
        <v>6</v>
      </c>
      <c r="N95" s="54">
        <f>(A98 * IFERROR(VLOOKUP(B98,BreakfastTable[],2,FALSE),0)) + (A99 * IFERROR(VLOOKUP(B99,BreakfastTable[],2,FALSE),0)) + (A100 * IFERROR(VLOOKUP(B100,BreakfastTable[],2,FALSE),0)) + (A101 * IFERROR(VLOOKUP(B101,BreakfastTable[],2,FALSE),0))</f>
        <v>1.6</v>
      </c>
      <c r="O95" s="54">
        <f>(A98 * IFERROR(VLOOKUP(B98,BreakfastTable[],3,FALSE),0)) + (A99 * IFERROR(VLOOKUP(B99,BreakfastTable[],3,FALSE),0)) + (A100 * IFERROR(VLOOKUP(B100,BreakfastTable[],3,FALSE),0)) + (A101 * IFERROR(VLOOKUP(B101,BreakfastTable[],3,FALSE),0))</f>
        <v>0.5</v>
      </c>
      <c r="P95" s="54">
        <f>(A98 * IFERROR(VLOOKUP(B98,BreakfastTable[],4,FALSE),0)) + (A99 * IFERROR(VLOOKUP(B99,BreakfastTable[],4,FALSE),0)) + (A100 * IFERROR(VLOOKUP(B100,BreakfastTable[],4,FALSE),0)) + (A101 * IFERROR(VLOOKUP(B101,BreakfastTable[],4,FALSE),0))</f>
        <v>34.299999999999997</v>
      </c>
    </row>
    <row r="96" spans="1:16" x14ac:dyDescent="0.25">
      <c r="A96" s="17"/>
      <c r="B96" s="17"/>
      <c r="C96" s="17"/>
      <c r="D96" s="17"/>
      <c r="E96" s="17"/>
      <c r="F96" s="17"/>
      <c r="G96" s="53"/>
      <c r="H96" s="53"/>
      <c r="I96" s="51"/>
      <c r="J96" s="51"/>
      <c r="K96" s="51"/>
      <c r="L96" s="51"/>
      <c r="M96" s="54" t="s">
        <v>11</v>
      </c>
      <c r="N96" s="54">
        <f>(C98 * IFERROR(VLOOKUP(D98,LunchTable[],2,FALSE),0)) + (C99 * IFERROR(VLOOKUP(D99,LunchTable[],2,FALSE),0)) + (C100 * IFERROR(VLOOKUP(D100,LunchTable[],2,FALSE),0)) + (C101 * IFERROR(VLOOKUP(D101,LunchTable[],2,FALSE),0))</f>
        <v>48</v>
      </c>
      <c r="O96" s="54">
        <f>(C98 * IFERROR(VLOOKUP(D98,LunchTable[],3,FALSE),0)) + (C99 * IFERROR(VLOOKUP(D99,LunchTable[],3,FALSE),0)) + (C100 * IFERROR(VLOOKUP(D100,LunchTable[],3,FALSE),0)) + (C101 * IFERROR(VLOOKUP(D101,LunchTable[],3,FALSE),0))</f>
        <v>42</v>
      </c>
      <c r="P96" s="54">
        <f>(C98 * IFERROR(VLOOKUP(D98,LunchTable[],4,FALSE),0)) + (C99 * IFERROR(VLOOKUP(D99,LunchTable[],4,FALSE),0)) + (C100 * IFERROR(VLOOKUP(D100,LunchTable[],4,FALSE),0)) + (C101 * IFERROR(VLOOKUP(D101,LunchTable[],4,FALSE),0))</f>
        <v>134.5</v>
      </c>
    </row>
    <row r="97" spans="1:16" ht="18" thickBot="1" x14ac:dyDescent="0.35">
      <c r="A97" s="10" t="s">
        <v>34</v>
      </c>
      <c r="B97" s="11" t="s">
        <v>6</v>
      </c>
      <c r="C97" s="10" t="s">
        <v>34</v>
      </c>
      <c r="D97" s="11" t="s">
        <v>11</v>
      </c>
      <c r="E97" s="10" t="s">
        <v>34</v>
      </c>
      <c r="F97" s="11" t="s">
        <v>12</v>
      </c>
      <c r="G97" s="10" t="s">
        <v>34</v>
      </c>
      <c r="H97" s="12" t="s">
        <v>35</v>
      </c>
      <c r="I97" s="5" t="s">
        <v>41</v>
      </c>
      <c r="J97" s="5" t="s">
        <v>42</v>
      </c>
      <c r="K97" s="5" t="s">
        <v>43</v>
      </c>
      <c r="L97" s="51"/>
      <c r="M97" s="54" t="s">
        <v>12</v>
      </c>
      <c r="N97" s="54">
        <f>(E98 * IFERROR(VLOOKUP(F98,DinnerTable[],2,FALSE),0)) + (E99 * IFERROR(VLOOKUP(F99,DinnerTable[],2,FALSE),0)) + (E100 * IFERROR(VLOOKUP(F100,DinnerTable[],2,FALSE),0)) + (E101 * IFERROR(VLOOKUP(F101,DinnerTable[],2,FALSE),0))</f>
        <v>128.75</v>
      </c>
      <c r="O97" s="54">
        <f>(E98 * IFERROR(VLOOKUP(F98,DinnerTable[],3,FALSE),0)) + (E99 * IFERROR(VLOOKUP(F99,DinnerTable[],3,FALSE),0)) + (E100 * IFERROR(VLOOKUP(F100,DinnerTable[],3,FALSE),0)) + (E101 * IFERROR(VLOOKUP(F101,DinnerTable[],3,FALSE),0))</f>
        <v>46.25</v>
      </c>
      <c r="P97" s="54">
        <f>(E98 * IFERROR(VLOOKUP(F98,DinnerTable[],4,FALSE),0)) + (E99 * IFERROR(VLOOKUP(F99,DinnerTable[],4,FALSE),0)) + (E100 * IFERROR(VLOOKUP(F100,DinnerTable[],4,FALSE),0)) + (E101 * IFERROR(VLOOKUP(F101,DinnerTable[],4,FALSE),0))</f>
        <v>90</v>
      </c>
    </row>
    <row r="98" spans="1:16" ht="15.75" thickTop="1" x14ac:dyDescent="0.25">
      <c r="A98" s="17">
        <v>1</v>
      </c>
      <c r="B98" s="17" t="s">
        <v>27</v>
      </c>
      <c r="C98" s="17">
        <v>1</v>
      </c>
      <c r="D98" s="17" t="s">
        <v>25</v>
      </c>
      <c r="E98" s="17">
        <v>0.5</v>
      </c>
      <c r="F98" s="17" t="s">
        <v>60</v>
      </c>
      <c r="G98" s="17"/>
      <c r="H98" s="17"/>
      <c r="I98" s="2">
        <v>1</v>
      </c>
      <c r="J98" s="2">
        <v>0.5</v>
      </c>
      <c r="K98" s="2">
        <v>33</v>
      </c>
      <c r="L98" s="51"/>
      <c r="M98" s="54" t="s">
        <v>35</v>
      </c>
      <c r="N98" s="54">
        <f>(G98 * IFERROR(VLOOKUP(H98,PostWorkoutTable[],2,FALSE),0)) + (G99 * IFERROR(VLOOKUP(H99,PostWorkoutTable[],2,FALSE),0)) + (G100 * IFERROR(VLOOKUP(H100,PostWorkoutTable[],2,FALSE),0)) + (G101 * IFERROR(VLOOKUP(H101,PostWorkoutTable[],2,FALSE),0))</f>
        <v>0</v>
      </c>
      <c r="O98" s="54">
        <f>(G98 * IFERROR(VLOOKUP(H98,PostWorkoutTable[],3,FALSE),0)) + (G99 * IFERROR(VLOOKUP(H99,PostWorkoutTable[],3,FALSE),0)) + (G100 * IFERROR(VLOOKUP(H100,PostWorkoutTable[],3,FALSE),0)) + (G101 * IFERROR(VLOOKUP(H101,PostWorkoutTable[],3,FALSE),0))</f>
        <v>0</v>
      </c>
      <c r="P98" s="54">
        <f>(G98 * IFERROR(VLOOKUP(H98,PostWorkoutTable[],4,FALSE),0)) + (G99 * IFERROR(VLOOKUP(H99,PostWorkoutTable[],4,FALSE),0)) + (G100 * IFERROR(VLOOKUP(H100,PostWorkoutTable[],4,FALSE),0)) + (G101 * IFERROR(VLOOKUP(H101,PostWorkoutTable[],4,FALSE),0))</f>
        <v>0</v>
      </c>
    </row>
    <row r="99" spans="1:16" x14ac:dyDescent="0.25">
      <c r="A99" s="17"/>
      <c r="B99" s="17"/>
      <c r="C99" s="17">
        <v>1</v>
      </c>
      <c r="D99" s="17" t="s">
        <v>89</v>
      </c>
      <c r="E99" s="17">
        <v>5</v>
      </c>
      <c r="F99" s="17" t="s">
        <v>22</v>
      </c>
      <c r="G99" s="17"/>
      <c r="H99" s="17"/>
      <c r="I99" s="2"/>
      <c r="J99" s="2"/>
      <c r="K99" s="2"/>
      <c r="L99" s="51"/>
      <c r="M99" s="54" t="s">
        <v>21</v>
      </c>
      <c r="N99" s="54">
        <f xml:space="preserve"> SUM(I98:I101)</f>
        <v>1</v>
      </c>
      <c r="O99" s="54">
        <f>SUM(J98:J101)</f>
        <v>0.5</v>
      </c>
      <c r="P99" s="54">
        <f>SUM(K98:K101)</f>
        <v>33</v>
      </c>
    </row>
    <row r="100" spans="1:16" x14ac:dyDescent="0.25">
      <c r="A100" s="17"/>
      <c r="B100" s="17"/>
      <c r="C100" s="17">
        <v>1</v>
      </c>
      <c r="D100" s="17" t="s">
        <v>88</v>
      </c>
      <c r="E100" s="17"/>
      <c r="F100" s="17"/>
      <c r="G100" s="17"/>
      <c r="H100" s="17"/>
      <c r="I100" s="2"/>
      <c r="J100" s="2"/>
      <c r="K100" s="2"/>
      <c r="L100" s="51"/>
      <c r="M100" s="54" t="s">
        <v>38</v>
      </c>
      <c r="N100" s="54">
        <f>SUM(N95:N99)</f>
        <v>179.35</v>
      </c>
      <c r="O100" s="54">
        <f>SUM(O95:O99)</f>
        <v>89.25</v>
      </c>
      <c r="P100" s="54">
        <f>SUM(P95:P99)</f>
        <v>291.8</v>
      </c>
    </row>
    <row r="101" spans="1:16" x14ac:dyDescent="0.25">
      <c r="A101" s="17"/>
      <c r="B101" s="17"/>
      <c r="C101" s="17"/>
      <c r="D101" s="17"/>
      <c r="E101" s="17"/>
      <c r="F101" s="17"/>
      <c r="G101" s="17"/>
      <c r="H101" s="17"/>
      <c r="I101" s="2"/>
      <c r="J101" s="2"/>
      <c r="K101" s="2"/>
      <c r="L101" s="51"/>
      <c r="M101" s="51"/>
      <c r="N101" s="51"/>
      <c r="O101" s="51"/>
      <c r="P101" s="51"/>
    </row>
    <row r="102" spans="1:16" x14ac:dyDescent="0.25">
      <c r="A102" s="51"/>
      <c r="B102" s="51"/>
      <c r="C102" s="51"/>
      <c r="D102" s="51"/>
      <c r="E102" s="51"/>
      <c r="F102" s="51"/>
      <c r="G102" s="51"/>
      <c r="H102" s="51"/>
      <c r="I102" s="51">
        <f>SUM(I98:I101)</f>
        <v>1</v>
      </c>
      <c r="J102" s="51">
        <f>SUM(J98:J101)</f>
        <v>0.5</v>
      </c>
      <c r="K102" s="51">
        <f>SUM(K98:K101)</f>
        <v>33</v>
      </c>
      <c r="L102" s="51"/>
      <c r="M102" s="51"/>
      <c r="N102" s="51"/>
      <c r="O102" s="51"/>
      <c r="P102" s="51"/>
    </row>
    <row r="103" spans="1:16" ht="23.25" x14ac:dyDescent="0.35">
      <c r="A103" s="56">
        <v>43566</v>
      </c>
      <c r="B103" s="55"/>
      <c r="C103" s="55"/>
      <c r="D103" s="55"/>
      <c r="E103" s="55"/>
      <c r="F103" s="51"/>
      <c r="G103" s="51"/>
      <c r="H103" s="51"/>
      <c r="I103" s="51"/>
      <c r="J103" s="51"/>
      <c r="K103" s="51"/>
      <c r="L103" s="51"/>
      <c r="M103" s="51"/>
      <c r="N103" s="51"/>
      <c r="O103" s="51"/>
      <c r="P103" s="51"/>
    </row>
    <row r="104" spans="1:16" ht="18" thickBot="1" x14ac:dyDescent="0.35">
      <c r="A104" s="3" t="s">
        <v>48</v>
      </c>
      <c r="B104" s="3" t="s">
        <v>0</v>
      </c>
      <c r="C104" s="3" t="s">
        <v>36</v>
      </c>
      <c r="D104" s="3" t="s">
        <v>8</v>
      </c>
      <c r="E104" s="5" t="s">
        <v>9</v>
      </c>
      <c r="F104" s="5" t="s">
        <v>10</v>
      </c>
      <c r="G104" s="52"/>
      <c r="H104" s="53"/>
      <c r="I104" s="51"/>
      <c r="J104" s="51"/>
      <c r="K104" s="51"/>
      <c r="L104" s="51"/>
      <c r="M104" s="52"/>
      <c r="N104" s="54" t="s">
        <v>8</v>
      </c>
      <c r="O104" s="54" t="s">
        <v>9</v>
      </c>
      <c r="P104" s="54" t="s">
        <v>10</v>
      </c>
    </row>
    <row r="105" spans="1:16" ht="15.75" thickTop="1" x14ac:dyDescent="0.25">
      <c r="A105" s="18">
        <v>43563</v>
      </c>
      <c r="B105" s="16">
        <f>IFERROR(VLOOKUP(A105,OverviewTable[],2,FALSE),"?")</f>
        <v>130.19999999999999</v>
      </c>
      <c r="C105" s="16" t="str">
        <f>((N110 * 4) + (O110 * 9) + (P110 * 4))&amp;"/"&amp;IFERROR(VLOOKUP(A105,OverviewTable[],11,FALSE),"?")</f>
        <v>2147.525/2333.2</v>
      </c>
      <c r="D105" s="16" t="str">
        <f>N110&amp;"/"&amp;IFERROR(VLOOKUP(A105,OverviewTable[],12,FALSE),"?")</f>
        <v>186.825/130</v>
      </c>
      <c r="E105" s="16" t="str">
        <f>O110&amp;"/"&amp;IFERROR(VLOOKUP(A105,OverviewTable[],13,FALSE),"?")</f>
        <v>69.625/65</v>
      </c>
      <c r="F105" s="16" t="str">
        <f>P110&amp;"/"&amp;IFERROR(VLOOKUP(A105,OverviewTable[],14,FALSE),"?")</f>
        <v>193.4/307</v>
      </c>
      <c r="G105" s="53"/>
      <c r="H105" s="53"/>
      <c r="I105" s="51"/>
      <c r="J105" s="51"/>
      <c r="K105" s="51"/>
      <c r="L105" s="51"/>
      <c r="M105" s="54" t="s">
        <v>6</v>
      </c>
      <c r="N105" s="54">
        <f>(A108 * IFERROR(VLOOKUP(B108,BreakfastTable[],2,FALSE),0)) + (A109 * IFERROR(VLOOKUP(B109,BreakfastTable[],2,FALSE),0)) + (A110 * IFERROR(VLOOKUP(B110,BreakfastTable[],2,FALSE),0)) + (A111 * IFERROR(VLOOKUP(B111,BreakfastTable[],2,FALSE),0))</f>
        <v>32.200000000000003</v>
      </c>
      <c r="O105" s="54">
        <f>(A108 * IFERROR(VLOOKUP(B108,BreakfastTable[],3,FALSE),0)) + (A109 * IFERROR(VLOOKUP(B109,BreakfastTable[],3,FALSE),0)) + (A110 * IFERROR(VLOOKUP(B110,BreakfastTable[],3,FALSE),0)) + (A111 * IFERROR(VLOOKUP(B111,BreakfastTable[],3,FALSE),0))</f>
        <v>14.7</v>
      </c>
      <c r="P105" s="54">
        <f>(A108 * IFERROR(VLOOKUP(B108,BreakfastTable[],4,FALSE),0)) + (A109 * IFERROR(VLOOKUP(B109,BreakfastTable[],4,FALSE),0)) + (A110 * IFERROR(VLOOKUP(B110,BreakfastTable[],4,FALSE),0)) + (A111 * IFERROR(VLOOKUP(B111,BreakfastTable[],4,FALSE),0))</f>
        <v>55.4</v>
      </c>
    </row>
    <row r="106" spans="1:16" x14ac:dyDescent="0.25">
      <c r="A106" s="17"/>
      <c r="B106" s="17"/>
      <c r="C106" s="17"/>
      <c r="D106" s="17"/>
      <c r="E106" s="17"/>
      <c r="F106" s="17"/>
      <c r="G106" s="53"/>
      <c r="H106" s="53"/>
      <c r="I106" s="51"/>
      <c r="J106" s="51"/>
      <c r="K106" s="51"/>
      <c r="L106" s="51"/>
      <c r="M106" s="54" t="s">
        <v>11</v>
      </c>
      <c r="N106" s="54">
        <f>(C108 * IFERROR(VLOOKUP(D108,LunchTable[],2,FALSE),0)) + (C109 * IFERROR(VLOOKUP(D109,LunchTable[],2,FALSE),0)) + (C110 * IFERROR(VLOOKUP(D110,LunchTable[],2,FALSE),0)) + (C111 * IFERROR(VLOOKUP(D111,LunchTable[],2,FALSE),0))</f>
        <v>51</v>
      </c>
      <c r="O106" s="54">
        <f>(C108 * IFERROR(VLOOKUP(D108,LunchTable[],3,FALSE),0)) + (C109 * IFERROR(VLOOKUP(D109,LunchTable[],3,FALSE),0)) + (C110 * IFERROR(VLOOKUP(D110,LunchTable[],3,FALSE),0)) + (C111 * IFERROR(VLOOKUP(D111,LunchTable[],3,FALSE),0))</f>
        <v>15</v>
      </c>
      <c r="P106" s="54">
        <f>(C108 * IFERROR(VLOOKUP(D108,LunchTable[],4,FALSE),0)) + (C109 * IFERROR(VLOOKUP(D109,LunchTable[],4,FALSE),0)) + (C110 * IFERROR(VLOOKUP(D110,LunchTable[],4,FALSE),0)) + (C111 * IFERROR(VLOOKUP(D111,LunchTable[],4,FALSE),0))</f>
        <v>63</v>
      </c>
    </row>
    <row r="107" spans="1:16" ht="18" thickBot="1" x14ac:dyDescent="0.35">
      <c r="A107" s="10" t="s">
        <v>34</v>
      </c>
      <c r="B107" s="11" t="s">
        <v>6</v>
      </c>
      <c r="C107" s="10" t="s">
        <v>34</v>
      </c>
      <c r="D107" s="11" t="s">
        <v>11</v>
      </c>
      <c r="E107" s="10" t="s">
        <v>34</v>
      </c>
      <c r="F107" s="11" t="s">
        <v>12</v>
      </c>
      <c r="G107" s="10" t="s">
        <v>34</v>
      </c>
      <c r="H107" s="12" t="s">
        <v>35</v>
      </c>
      <c r="I107" s="5" t="s">
        <v>41</v>
      </c>
      <c r="J107" s="5" t="s">
        <v>42</v>
      </c>
      <c r="K107" s="5" t="s">
        <v>43</v>
      </c>
      <c r="L107" s="51"/>
      <c r="M107" s="54" t="s">
        <v>12</v>
      </c>
      <c r="N107" s="54">
        <f>(E108 * IFERROR(VLOOKUP(F108,DinnerTable[],2,FALSE),0)) + (E109 * IFERROR(VLOOKUP(F109,DinnerTable[],2,FALSE),0)) + (E110 * IFERROR(VLOOKUP(F110,DinnerTable[],2,FALSE),0)) + (E111 * IFERROR(VLOOKUP(F111,DinnerTable[],2,FALSE),0))</f>
        <v>83.625</v>
      </c>
      <c r="O107" s="54">
        <f>(E108 * IFERROR(VLOOKUP(F108,DinnerTable[],3,FALSE),0)) + (E109 * IFERROR(VLOOKUP(F109,DinnerTable[],3,FALSE),0)) + (E110 * IFERROR(VLOOKUP(F110,DinnerTable[],3,FALSE),0)) + (E111 * IFERROR(VLOOKUP(F111,DinnerTable[],3,FALSE),0))</f>
        <v>29.925000000000001</v>
      </c>
      <c r="P107" s="54">
        <f>(E108 * IFERROR(VLOOKUP(F108,DinnerTable[],4,FALSE),0)) + (E109 * IFERROR(VLOOKUP(F109,DinnerTable[],4,FALSE),0)) + (E110 * IFERROR(VLOOKUP(F110,DinnerTable[],4,FALSE),0)) + (E111 * IFERROR(VLOOKUP(F111,DinnerTable[],4,FALSE),0))</f>
        <v>54</v>
      </c>
    </row>
    <row r="108" spans="1:16" ht="15.75" thickTop="1" x14ac:dyDescent="0.25">
      <c r="A108" s="17">
        <v>1</v>
      </c>
      <c r="B108" s="17" t="s">
        <v>97</v>
      </c>
      <c r="C108" s="17">
        <v>1</v>
      </c>
      <c r="D108" s="17" t="s">
        <v>23</v>
      </c>
      <c r="E108" s="17">
        <v>0.33</v>
      </c>
      <c r="F108" s="17" t="s">
        <v>60</v>
      </c>
      <c r="G108" s="17">
        <v>1</v>
      </c>
      <c r="H108" s="17" t="s">
        <v>105</v>
      </c>
      <c r="I108" s="2"/>
      <c r="J108" s="2"/>
      <c r="K108" s="2"/>
      <c r="L108" s="51"/>
      <c r="M108" s="54" t="s">
        <v>35</v>
      </c>
      <c r="N108" s="54">
        <f>(G108 * IFERROR(VLOOKUP(H108,PostWorkoutTable[],2,FALSE),0)) + (G109 * IFERROR(VLOOKUP(H109,PostWorkoutTable[],2,FALSE),0)) + (G110 * IFERROR(VLOOKUP(H110,PostWorkoutTable[],2,FALSE),0)) + (G111 * IFERROR(VLOOKUP(H111,PostWorkoutTable[],2,FALSE),0))</f>
        <v>20</v>
      </c>
      <c r="O108" s="54">
        <f>(G108 * IFERROR(VLOOKUP(H108,PostWorkoutTable[],3,FALSE),0)) + (G109 * IFERROR(VLOOKUP(H109,PostWorkoutTable[],3,FALSE),0)) + (G110 * IFERROR(VLOOKUP(H110,PostWorkoutTable[],3,FALSE),0)) + (G111 * IFERROR(VLOOKUP(H111,PostWorkoutTable[],3,FALSE),0))</f>
        <v>10</v>
      </c>
      <c r="P108" s="54">
        <f>(G108 * IFERROR(VLOOKUP(H108,PostWorkoutTable[],4,FALSE),0)) + (G109 * IFERROR(VLOOKUP(H109,PostWorkoutTable[],4,FALSE),0)) + (G110 * IFERROR(VLOOKUP(H110,PostWorkoutTable[],4,FALSE),0)) + (G111 * IFERROR(VLOOKUP(H111,PostWorkoutTable[],4,FALSE),0))</f>
        <v>21</v>
      </c>
    </row>
    <row r="109" spans="1:16" x14ac:dyDescent="0.25">
      <c r="A109" s="17"/>
      <c r="B109" s="17"/>
      <c r="C109" s="17">
        <v>0.25</v>
      </c>
      <c r="D109" s="17" t="s">
        <v>51</v>
      </c>
      <c r="E109" s="17">
        <v>3</v>
      </c>
      <c r="F109" s="17" t="s">
        <v>22</v>
      </c>
      <c r="G109" s="17"/>
      <c r="H109" s="17"/>
      <c r="I109" s="2"/>
      <c r="J109" s="2"/>
      <c r="K109" s="2"/>
      <c r="L109" s="51"/>
      <c r="M109" s="54" t="s">
        <v>21</v>
      </c>
      <c r="N109" s="54">
        <f xml:space="preserve"> SUM(I108:I111)</f>
        <v>0</v>
      </c>
      <c r="O109" s="54">
        <f>SUM(J108:J111)</f>
        <v>0</v>
      </c>
      <c r="P109" s="54">
        <f>SUM(K108:K111)</f>
        <v>0</v>
      </c>
    </row>
    <row r="110" spans="1:16" x14ac:dyDescent="0.25">
      <c r="A110" s="17"/>
      <c r="B110" s="17"/>
      <c r="C110" s="17">
        <v>0.25</v>
      </c>
      <c r="D110" s="17" t="s">
        <v>52</v>
      </c>
      <c r="E110" s="17"/>
      <c r="F110" s="17"/>
      <c r="G110" s="17"/>
      <c r="H110" s="17"/>
      <c r="I110" s="2"/>
      <c r="J110" s="2"/>
      <c r="K110" s="2"/>
      <c r="L110" s="51"/>
      <c r="M110" s="54" t="s">
        <v>38</v>
      </c>
      <c r="N110" s="54">
        <f>SUM(N105:N109)</f>
        <v>186.82499999999999</v>
      </c>
      <c r="O110" s="54">
        <f>SUM(O105:O109)</f>
        <v>69.625</v>
      </c>
      <c r="P110" s="54">
        <f>SUM(P105:P109)</f>
        <v>193.4</v>
      </c>
    </row>
    <row r="111" spans="1:16" x14ac:dyDescent="0.25">
      <c r="A111" s="17"/>
      <c r="B111" s="17"/>
      <c r="C111" s="17">
        <v>1</v>
      </c>
      <c r="D111" s="17" t="s">
        <v>90</v>
      </c>
      <c r="E111" s="17"/>
      <c r="F111" s="17"/>
      <c r="G111" s="17"/>
      <c r="H111" s="17"/>
      <c r="I111" s="2"/>
      <c r="J111" s="2"/>
      <c r="K111" s="2"/>
      <c r="L111" s="51"/>
      <c r="M111" s="51"/>
      <c r="N111" s="51"/>
      <c r="O111" s="51"/>
      <c r="P111" s="51"/>
    </row>
    <row r="112" spans="1:16" x14ac:dyDescent="0.25">
      <c r="A112" s="51"/>
      <c r="B112" s="51"/>
      <c r="C112" s="51"/>
      <c r="D112" s="51"/>
      <c r="E112" s="51"/>
      <c r="F112" s="51"/>
      <c r="G112" s="51"/>
      <c r="H112" s="51"/>
      <c r="I112" s="51">
        <f>SUM(I108:I111)</f>
        <v>0</v>
      </c>
      <c r="J112" s="51">
        <f>SUM(J108:J111)</f>
        <v>0</v>
      </c>
      <c r="K112" s="51">
        <f>SUM(K108:K111)</f>
        <v>0</v>
      </c>
      <c r="L112" s="51"/>
      <c r="M112" s="51"/>
      <c r="N112" s="51"/>
      <c r="O112" s="51"/>
      <c r="P112" s="51"/>
    </row>
    <row r="113" spans="1:16" ht="23.25" x14ac:dyDescent="0.35">
      <c r="A113" s="56">
        <v>43567</v>
      </c>
      <c r="B113" s="55"/>
      <c r="C113" s="55"/>
      <c r="D113" s="55"/>
      <c r="E113" s="55"/>
      <c r="F113" s="51"/>
      <c r="G113" s="51"/>
      <c r="H113" s="51"/>
      <c r="I113" s="51"/>
      <c r="J113" s="51"/>
      <c r="K113" s="51"/>
      <c r="L113" s="51"/>
      <c r="M113" s="51"/>
      <c r="N113" s="51"/>
      <c r="O113" s="51"/>
      <c r="P113" s="51"/>
    </row>
    <row r="114" spans="1:16" ht="18" thickBot="1" x14ac:dyDescent="0.35">
      <c r="A114" s="3" t="s">
        <v>48</v>
      </c>
      <c r="B114" s="3" t="s">
        <v>0</v>
      </c>
      <c r="C114" s="3" t="s">
        <v>36</v>
      </c>
      <c r="D114" s="3" t="s">
        <v>8</v>
      </c>
      <c r="E114" s="5" t="s">
        <v>9</v>
      </c>
      <c r="F114" s="5" t="s">
        <v>10</v>
      </c>
      <c r="G114" s="52"/>
      <c r="H114" s="53"/>
      <c r="I114" s="51"/>
      <c r="J114" s="51"/>
      <c r="K114" s="51"/>
      <c r="L114" s="51"/>
      <c r="M114" s="52"/>
      <c r="N114" s="54" t="s">
        <v>8</v>
      </c>
      <c r="O114" s="54" t="s">
        <v>9</v>
      </c>
      <c r="P114" s="54" t="s">
        <v>10</v>
      </c>
    </row>
    <row r="115" spans="1:16" ht="15.75" thickTop="1" x14ac:dyDescent="0.25">
      <c r="A115" s="18">
        <v>43563</v>
      </c>
      <c r="B115" s="16">
        <f>IFERROR(VLOOKUP(A115,OverviewTable[],2,FALSE),"?")</f>
        <v>130.19999999999999</v>
      </c>
      <c r="C115" s="16" t="str">
        <f>((N120 * 4) + (O120 * 9) + (P120 * 4))&amp;"/"&amp;IFERROR(VLOOKUP(A115,OverviewTable[],11,FALSE),"?")</f>
        <v>1649.1/2333.2</v>
      </c>
      <c r="D115" s="16" t="str">
        <f>N120&amp;"/"&amp;IFERROR(VLOOKUP(A115,OverviewTable[],12,FALSE),"?")</f>
        <v>95/130</v>
      </c>
      <c r="E115" s="16" t="str">
        <f>O120&amp;"/"&amp;IFERROR(VLOOKUP(A115,OverviewTable[],13,FALSE),"?")</f>
        <v>61.1/65</v>
      </c>
      <c r="F115" s="16" t="str">
        <f>P120&amp;"/"&amp;IFERROR(VLOOKUP(A115,OverviewTable[],14,FALSE),"?")</f>
        <v>179.8/307</v>
      </c>
      <c r="G115" s="53"/>
      <c r="H115" s="53"/>
      <c r="I115" s="51"/>
      <c r="J115" s="51"/>
      <c r="K115" s="51"/>
      <c r="L115" s="51"/>
      <c r="M115" s="54" t="s">
        <v>6</v>
      </c>
      <c r="N115" s="54">
        <f>(A118 * IFERROR(VLOOKUP(B118,BreakfastTable[],2,FALSE),0)) + (A119 * IFERROR(VLOOKUP(B119,BreakfastTable[],2,FALSE),0)) + (A120 * IFERROR(VLOOKUP(B120,BreakfastTable[],2,FALSE),0)) + (A121 * IFERROR(VLOOKUP(B121,BreakfastTable[],2,FALSE),0))</f>
        <v>20</v>
      </c>
      <c r="O115" s="54">
        <f>(A118 * IFERROR(VLOOKUP(B118,BreakfastTable[],3,FALSE),0)) + (A119 * IFERROR(VLOOKUP(B119,BreakfastTable[],3,FALSE),0)) + (A120 * IFERROR(VLOOKUP(B120,BreakfastTable[],3,FALSE),0)) + (A121 * IFERROR(VLOOKUP(B121,BreakfastTable[],3,FALSE),0))</f>
        <v>10</v>
      </c>
      <c r="P115" s="54">
        <f>(A118 * IFERROR(VLOOKUP(B118,BreakfastTable[],4,FALSE),0)) + (A119 * IFERROR(VLOOKUP(B119,BreakfastTable[],4,FALSE),0)) + (A120 * IFERROR(VLOOKUP(B120,BreakfastTable[],4,FALSE),0)) + (A121 * IFERROR(VLOOKUP(B121,BreakfastTable[],4,FALSE),0))</f>
        <v>21</v>
      </c>
    </row>
    <row r="116" spans="1:16" x14ac:dyDescent="0.25">
      <c r="A116" s="17"/>
      <c r="B116" s="17"/>
      <c r="C116" s="17"/>
      <c r="D116" s="17"/>
      <c r="E116" s="17"/>
      <c r="F116" s="17"/>
      <c r="G116" s="53"/>
      <c r="H116" s="53"/>
      <c r="I116" s="51"/>
      <c r="J116" s="51"/>
      <c r="K116" s="51"/>
      <c r="L116" s="51"/>
      <c r="M116" s="54" t="s">
        <v>11</v>
      </c>
      <c r="N116" s="54">
        <f>(C118 * IFERROR(VLOOKUP(D118,LunchTable[],2,FALSE),0)) + (C119 * IFERROR(VLOOKUP(D119,LunchTable[],2,FALSE),0)) + (C120 * IFERROR(VLOOKUP(D120,LunchTable[],2,FALSE),0)) + (C121 * IFERROR(VLOOKUP(D121,LunchTable[],2,FALSE),0))</f>
        <v>0</v>
      </c>
      <c r="O116" s="54">
        <f>(C118 * IFERROR(VLOOKUP(D118,LunchTable[],3,FALSE),0)) + (C119 * IFERROR(VLOOKUP(D119,LunchTable[],3,FALSE),0)) + (C120 * IFERROR(VLOOKUP(D120,LunchTable[],3,FALSE),0)) + (C121 * IFERROR(VLOOKUP(D121,LunchTable[],3,FALSE),0))</f>
        <v>0</v>
      </c>
      <c r="P116" s="54">
        <f>(C118 * IFERROR(VLOOKUP(D118,LunchTable[],4,FALSE),0)) + (C119 * IFERROR(VLOOKUP(D119,LunchTable[],4,FALSE),0)) + (C120 * IFERROR(VLOOKUP(D120,LunchTable[],4,FALSE),0)) + (C121 * IFERROR(VLOOKUP(D121,LunchTable[],4,FALSE),0))</f>
        <v>0</v>
      </c>
    </row>
    <row r="117" spans="1:16" ht="18" thickBot="1" x14ac:dyDescent="0.35">
      <c r="A117" s="10" t="s">
        <v>34</v>
      </c>
      <c r="B117" s="11" t="s">
        <v>6</v>
      </c>
      <c r="C117" s="10" t="s">
        <v>34</v>
      </c>
      <c r="D117" s="11" t="s">
        <v>11</v>
      </c>
      <c r="E117" s="10" t="s">
        <v>34</v>
      </c>
      <c r="F117" s="11" t="s">
        <v>12</v>
      </c>
      <c r="G117" s="10" t="s">
        <v>34</v>
      </c>
      <c r="H117" s="12" t="s">
        <v>35</v>
      </c>
      <c r="I117" s="5" t="s">
        <v>41</v>
      </c>
      <c r="J117" s="5" t="s">
        <v>42</v>
      </c>
      <c r="K117" s="5" t="s">
        <v>43</v>
      </c>
      <c r="L117" s="51"/>
      <c r="M117" s="54" t="s">
        <v>12</v>
      </c>
      <c r="N117" s="54">
        <f>(E118 * IFERROR(VLOOKUP(F118,DinnerTable[],2,FALSE),0)) + (E119 * IFERROR(VLOOKUP(F119,DinnerTable[],2,FALSE),0)) + (E120 * IFERROR(VLOOKUP(F120,DinnerTable[],2,FALSE),0)) + (E121 * IFERROR(VLOOKUP(F121,DinnerTable[],2,FALSE),0))</f>
        <v>52.5</v>
      </c>
      <c r="O117" s="54">
        <f>(E118 * IFERROR(VLOOKUP(F118,DinnerTable[],3,FALSE),0)) + (E119 * IFERROR(VLOOKUP(F119,DinnerTable[],3,FALSE),0)) + (E120 * IFERROR(VLOOKUP(F120,DinnerTable[],3,FALSE),0)) + (E121 * IFERROR(VLOOKUP(F121,DinnerTable[],3,FALSE),0))</f>
        <v>38.1</v>
      </c>
      <c r="P117" s="54">
        <f>(E118 * IFERROR(VLOOKUP(F118,DinnerTable[],4,FALSE),0)) + (E119 * IFERROR(VLOOKUP(F119,DinnerTable[],4,FALSE),0)) + (E120 * IFERROR(VLOOKUP(F120,DinnerTable[],4,FALSE),0)) + (E121 * IFERROR(VLOOKUP(F121,DinnerTable[],4,FALSE),0))</f>
        <v>108.8</v>
      </c>
    </row>
    <row r="118" spans="1:16" ht="15.75" thickTop="1" x14ac:dyDescent="0.25">
      <c r="A118" s="17">
        <v>1</v>
      </c>
      <c r="B118" s="17" t="s">
        <v>105</v>
      </c>
      <c r="C118" s="17"/>
      <c r="D118" s="17"/>
      <c r="E118" s="17">
        <v>0.75</v>
      </c>
      <c r="F118" s="17" t="s">
        <v>79</v>
      </c>
      <c r="G118" s="17"/>
      <c r="H118" s="17"/>
      <c r="I118" s="2">
        <v>22.5</v>
      </c>
      <c r="J118" s="2">
        <v>13</v>
      </c>
      <c r="K118" s="2">
        <v>11</v>
      </c>
      <c r="L118" s="51"/>
      <c r="M118" s="54" t="s">
        <v>35</v>
      </c>
      <c r="N118" s="54">
        <f>(G118 * IFERROR(VLOOKUP(H118,PostWorkoutTable[],2,FALSE),0)) + (G119 * IFERROR(VLOOKUP(H119,PostWorkoutTable[],2,FALSE),0)) + (G120 * IFERROR(VLOOKUP(H120,PostWorkoutTable[],2,FALSE),0)) + (G121 * IFERROR(VLOOKUP(H121,PostWorkoutTable[],2,FALSE),0))</f>
        <v>0</v>
      </c>
      <c r="O118" s="54">
        <f>(G118 * IFERROR(VLOOKUP(H118,PostWorkoutTable[],3,FALSE),0)) + (G119 * IFERROR(VLOOKUP(H119,PostWorkoutTable[],3,FALSE),0)) + (G120 * IFERROR(VLOOKUP(H120,PostWorkoutTable[],3,FALSE),0)) + (G121 * IFERROR(VLOOKUP(H121,PostWorkoutTable[],3,FALSE),0))</f>
        <v>0</v>
      </c>
      <c r="P118" s="54">
        <f>(G118 * IFERROR(VLOOKUP(H118,PostWorkoutTable[],4,FALSE),0)) + (G119 * IFERROR(VLOOKUP(H119,PostWorkoutTable[],4,FALSE),0)) + (G120 * IFERROR(VLOOKUP(H120,PostWorkoutTable[],4,FALSE),0)) + (G121 * IFERROR(VLOOKUP(H121,PostWorkoutTable[],4,FALSE),0))</f>
        <v>0</v>
      </c>
    </row>
    <row r="119" spans="1:16" x14ac:dyDescent="0.25">
      <c r="A119" s="17"/>
      <c r="B119" s="17"/>
      <c r="C119" s="17"/>
      <c r="D119" s="17"/>
      <c r="E119" s="17">
        <v>1</v>
      </c>
      <c r="F119" s="17" t="s">
        <v>91</v>
      </c>
      <c r="G119" s="17"/>
      <c r="H119" s="17"/>
      <c r="I119" s="2">
        <v>0</v>
      </c>
      <c r="J119" s="2">
        <v>0</v>
      </c>
      <c r="K119" s="2">
        <v>39</v>
      </c>
      <c r="L119" s="51"/>
      <c r="M119" s="54" t="s">
        <v>21</v>
      </c>
      <c r="N119" s="54">
        <f xml:space="preserve"> SUM(I118:I121)</f>
        <v>22.5</v>
      </c>
      <c r="O119" s="54">
        <f>SUM(J118:J121)</f>
        <v>13</v>
      </c>
      <c r="P119" s="54">
        <f>SUM(K118:K121)</f>
        <v>50</v>
      </c>
    </row>
    <row r="120" spans="1:16" x14ac:dyDescent="0.25">
      <c r="A120" s="17"/>
      <c r="B120" s="17"/>
      <c r="C120" s="17"/>
      <c r="D120" s="17"/>
      <c r="E120" s="17">
        <v>0.5</v>
      </c>
      <c r="F120" s="17" t="s">
        <v>45</v>
      </c>
      <c r="G120" s="17"/>
      <c r="H120" s="17"/>
      <c r="I120" s="2"/>
      <c r="J120" s="2"/>
      <c r="K120" s="2"/>
      <c r="L120" s="51"/>
      <c r="M120" s="54" t="s">
        <v>38</v>
      </c>
      <c r="N120" s="54">
        <f>SUM(N115:N119)</f>
        <v>95</v>
      </c>
      <c r="O120" s="54">
        <f>SUM(O115:O119)</f>
        <v>61.1</v>
      </c>
      <c r="P120" s="54">
        <f>SUM(P115:P119)</f>
        <v>179.8</v>
      </c>
    </row>
    <row r="121" spans="1:16" x14ac:dyDescent="0.25">
      <c r="A121" s="17"/>
      <c r="B121" s="17"/>
      <c r="C121" s="17"/>
      <c r="D121" s="17"/>
      <c r="E121" s="17">
        <v>0.5</v>
      </c>
      <c r="F121" s="17" t="s">
        <v>92</v>
      </c>
      <c r="G121" s="17"/>
      <c r="H121" s="17"/>
      <c r="I121" s="2"/>
      <c r="J121" s="2"/>
      <c r="K121" s="2"/>
      <c r="L121" s="51"/>
      <c r="M121" s="51"/>
      <c r="N121" s="51"/>
      <c r="O121" s="51"/>
      <c r="P121" s="51"/>
    </row>
    <row r="122" spans="1:16" x14ac:dyDescent="0.25">
      <c r="A122" s="51"/>
      <c r="B122" s="51"/>
      <c r="C122" s="51"/>
      <c r="D122" s="51"/>
      <c r="E122" s="51"/>
      <c r="F122" s="51"/>
      <c r="G122" s="51"/>
      <c r="H122" s="51"/>
      <c r="I122" s="51">
        <f>SUM(I118:I121)</f>
        <v>22.5</v>
      </c>
      <c r="J122" s="51">
        <f>SUM(J118:J121)</f>
        <v>13</v>
      </c>
      <c r="K122" s="51">
        <f>SUM(K118:K121)</f>
        <v>50</v>
      </c>
      <c r="L122" s="51"/>
      <c r="M122" s="51"/>
      <c r="N122" s="51"/>
      <c r="O122" s="51"/>
      <c r="P122" s="51"/>
    </row>
    <row r="123" spans="1:16" ht="23.25" x14ac:dyDescent="0.35">
      <c r="A123" s="56">
        <v>43568</v>
      </c>
      <c r="B123" s="55"/>
      <c r="C123" s="55"/>
      <c r="D123" s="55"/>
      <c r="E123" s="55"/>
      <c r="F123" s="51"/>
      <c r="G123" s="51"/>
      <c r="H123" s="51"/>
      <c r="I123" s="51"/>
      <c r="J123" s="51"/>
      <c r="K123" s="51"/>
      <c r="L123" s="51"/>
      <c r="M123" s="51"/>
      <c r="N123" s="51"/>
      <c r="O123" s="51"/>
      <c r="P123" s="51"/>
    </row>
    <row r="124" spans="1:16" ht="18" thickBot="1" x14ac:dyDescent="0.35">
      <c r="A124" s="3" t="s">
        <v>48</v>
      </c>
      <c r="B124" s="3" t="s">
        <v>0</v>
      </c>
      <c r="C124" s="3" t="s">
        <v>36</v>
      </c>
      <c r="D124" s="3" t="s">
        <v>8</v>
      </c>
      <c r="E124" s="5" t="s">
        <v>9</v>
      </c>
      <c r="F124" s="5" t="s">
        <v>10</v>
      </c>
      <c r="G124" s="52"/>
      <c r="H124" s="53"/>
      <c r="I124" s="51"/>
      <c r="J124" s="51"/>
      <c r="K124" s="51"/>
      <c r="L124" s="51"/>
      <c r="M124" s="52"/>
      <c r="N124" s="54" t="s">
        <v>8</v>
      </c>
      <c r="O124" s="54" t="s">
        <v>9</v>
      </c>
      <c r="P124" s="54" t="s">
        <v>10</v>
      </c>
    </row>
    <row r="125" spans="1:16" ht="15.75" thickTop="1" x14ac:dyDescent="0.25">
      <c r="A125" s="18">
        <v>43563</v>
      </c>
      <c r="B125" s="16">
        <f>IFERROR(VLOOKUP(A125,OverviewTable[],2,FALSE),"?")</f>
        <v>130.19999999999999</v>
      </c>
      <c r="C125" s="16" t="str">
        <f>((N130 * 4) + (O130 * 9) + (P130 * 4))&amp;"/"&amp;IFERROR(VLOOKUP(A125,OverviewTable[],11,FALSE),"?")</f>
        <v>1248.5/2333.2</v>
      </c>
      <c r="D125" s="16" t="str">
        <f>N130&amp;"/"&amp;IFERROR(VLOOKUP(A125,OverviewTable[],12,FALSE),"?")</f>
        <v>93.2/130</v>
      </c>
      <c r="E125" s="16" t="str">
        <f>O130&amp;"/"&amp;IFERROR(VLOOKUP(A125,OverviewTable[],13,FALSE),"?")</f>
        <v>41.3/65</v>
      </c>
      <c r="F125" s="16" t="str">
        <f>P130&amp;"/"&amp;IFERROR(VLOOKUP(A125,OverviewTable[],14,FALSE),"?")</f>
        <v>126/307</v>
      </c>
      <c r="G125" s="53"/>
      <c r="H125" s="53"/>
      <c r="I125" s="51"/>
      <c r="J125" s="51"/>
      <c r="K125" s="51"/>
      <c r="L125" s="51"/>
      <c r="M125" s="54" t="s">
        <v>6</v>
      </c>
      <c r="N125" s="54">
        <f>(A128 * IFERROR(VLOOKUP(B128,BreakfastTable[],2,FALSE),0)) + (A129 * IFERROR(VLOOKUP(B129,BreakfastTable[],2,FALSE),0)) + (A130 * IFERROR(VLOOKUP(B130,BreakfastTable[],2,FALSE),0)) + (A131 * IFERROR(VLOOKUP(B131,BreakfastTable[],2,FALSE),0))</f>
        <v>0</v>
      </c>
      <c r="O125" s="54">
        <f>(A128 * IFERROR(VLOOKUP(B128,BreakfastTable[],3,FALSE),0)) + (A129 * IFERROR(VLOOKUP(B129,BreakfastTable[],3,FALSE),0)) + (A130 * IFERROR(VLOOKUP(B130,BreakfastTable[],3,FALSE),0)) + (A131 * IFERROR(VLOOKUP(B131,BreakfastTable[],3,FALSE),0))</f>
        <v>0</v>
      </c>
      <c r="P125" s="54">
        <f>(A128 * IFERROR(VLOOKUP(B128,BreakfastTable[],4,FALSE),0)) + (A129 * IFERROR(VLOOKUP(B129,BreakfastTable[],4,FALSE),0)) + (A130 * IFERROR(VLOOKUP(B130,BreakfastTable[],4,FALSE),0)) + (A131 * IFERROR(VLOOKUP(B131,BreakfastTable[],4,FALSE),0))</f>
        <v>0</v>
      </c>
    </row>
    <row r="126" spans="1:16" x14ac:dyDescent="0.25">
      <c r="A126" s="17"/>
      <c r="B126" s="17"/>
      <c r="C126" s="17"/>
      <c r="D126" s="17"/>
      <c r="E126" s="17"/>
      <c r="F126" s="17"/>
      <c r="G126" s="53"/>
      <c r="H126" s="53"/>
      <c r="I126" s="51"/>
      <c r="J126" s="51"/>
      <c r="K126" s="51"/>
      <c r="L126" s="51"/>
      <c r="M126" s="54" t="s">
        <v>11</v>
      </c>
      <c r="N126" s="54">
        <f>(C128 * IFERROR(VLOOKUP(D128,LunchTable[],2,FALSE),0)) + (C129 * IFERROR(VLOOKUP(D129,LunchTable[],2,FALSE),0)) + (C130 * IFERROR(VLOOKUP(D130,LunchTable[],2,FALSE),0)) + (C131 * IFERROR(VLOOKUP(D131,LunchTable[],2,FALSE),0))</f>
        <v>0</v>
      </c>
      <c r="O126" s="54">
        <f>(C128 * IFERROR(VLOOKUP(D128,LunchTable[],3,FALSE),0)) + (C129 * IFERROR(VLOOKUP(D129,LunchTable[],3,FALSE),0)) + (C130 * IFERROR(VLOOKUP(D130,LunchTable[],3,FALSE),0)) + (C131 * IFERROR(VLOOKUP(D131,LunchTable[],3,FALSE),0))</f>
        <v>0</v>
      </c>
      <c r="P126" s="54">
        <f>(C128 * IFERROR(VLOOKUP(D128,LunchTable[],4,FALSE),0)) + (C129 * IFERROR(VLOOKUP(D129,LunchTable[],4,FALSE),0)) + (C130 * IFERROR(VLOOKUP(D130,LunchTable[],4,FALSE),0)) + (C131 * IFERROR(VLOOKUP(D131,LunchTable[],4,FALSE),0))</f>
        <v>0</v>
      </c>
    </row>
    <row r="127" spans="1:16" ht="18" thickBot="1" x14ac:dyDescent="0.35">
      <c r="A127" s="10" t="s">
        <v>34</v>
      </c>
      <c r="B127" s="11" t="s">
        <v>6</v>
      </c>
      <c r="C127" s="10" t="s">
        <v>34</v>
      </c>
      <c r="D127" s="11" t="s">
        <v>11</v>
      </c>
      <c r="E127" s="10" t="s">
        <v>34</v>
      </c>
      <c r="F127" s="11" t="s">
        <v>12</v>
      </c>
      <c r="G127" s="10" t="s">
        <v>34</v>
      </c>
      <c r="H127" s="12" t="s">
        <v>35</v>
      </c>
      <c r="I127" s="5" t="s">
        <v>41</v>
      </c>
      <c r="J127" s="5" t="s">
        <v>42</v>
      </c>
      <c r="K127" s="5" t="s">
        <v>43</v>
      </c>
      <c r="L127" s="51"/>
      <c r="M127" s="54" t="s">
        <v>12</v>
      </c>
      <c r="N127" s="54">
        <f>(E128 * IFERROR(VLOOKUP(F128,DinnerTable[],2,FALSE),0)) + (E129 * IFERROR(VLOOKUP(F129,DinnerTable[],2,FALSE),0)) + (E130 * IFERROR(VLOOKUP(F130,DinnerTable[],2,FALSE),0)) + (E131 * IFERROR(VLOOKUP(F131,DinnerTable[],2,FALSE),0))</f>
        <v>28</v>
      </c>
      <c r="O127" s="54">
        <f>(E128 * IFERROR(VLOOKUP(F128,DinnerTable[],3,FALSE),0)) + (E129 * IFERROR(VLOOKUP(F129,DinnerTable[],3,FALSE),0)) + (E130 * IFERROR(VLOOKUP(F130,DinnerTable[],3,FALSE),0)) + (E131 * IFERROR(VLOOKUP(F131,DinnerTable[],3,FALSE),0))</f>
        <v>18</v>
      </c>
      <c r="P127" s="54">
        <f>(E128 * IFERROR(VLOOKUP(F128,DinnerTable[],4,FALSE),0)) + (E129 * IFERROR(VLOOKUP(F129,DinnerTable[],4,FALSE),0)) + (E130 * IFERROR(VLOOKUP(F130,DinnerTable[],4,FALSE),0)) + (E131 * IFERROR(VLOOKUP(F131,DinnerTable[],4,FALSE),0))</f>
        <v>0</v>
      </c>
    </row>
    <row r="128" spans="1:16" ht="15.75" thickTop="1" x14ac:dyDescent="0.25">
      <c r="A128" s="17"/>
      <c r="B128" s="17"/>
      <c r="C128" s="17"/>
      <c r="D128" s="17"/>
      <c r="E128" s="17">
        <v>4</v>
      </c>
      <c r="F128" s="17" t="s">
        <v>29</v>
      </c>
      <c r="G128" s="17">
        <v>1</v>
      </c>
      <c r="H128" s="17" t="s">
        <v>26</v>
      </c>
      <c r="I128" s="2">
        <v>39</v>
      </c>
      <c r="J128" s="2">
        <v>14</v>
      </c>
      <c r="K128" s="2">
        <v>44</v>
      </c>
      <c r="L128" s="51"/>
      <c r="M128" s="54" t="s">
        <v>35</v>
      </c>
      <c r="N128" s="54">
        <f>(G128 * IFERROR(VLOOKUP(H128,PostWorkoutTable[],2,FALSE),0)) + (G129 * IFERROR(VLOOKUP(H129,PostWorkoutTable[],2,FALSE),0)) + (G130 * IFERROR(VLOOKUP(H130,PostWorkoutTable[],2,FALSE),0)) + (G131 * IFERROR(VLOOKUP(H131,PostWorkoutTable[],2,FALSE),0))</f>
        <v>20</v>
      </c>
      <c r="O128" s="54">
        <f>(G128 * IFERROR(VLOOKUP(H128,PostWorkoutTable[],3,FALSE),0)) + (G129 * IFERROR(VLOOKUP(H129,PostWorkoutTable[],3,FALSE),0)) + (G130 * IFERROR(VLOOKUP(H130,PostWorkoutTable[],3,FALSE),0)) + (G131 * IFERROR(VLOOKUP(H131,PostWorkoutTable[],3,FALSE),0))</f>
        <v>9</v>
      </c>
      <c r="P128" s="54">
        <f>(G128 * IFERROR(VLOOKUP(H128,PostWorkoutTable[],4,FALSE),0)) + (G129 * IFERROR(VLOOKUP(H129,PostWorkoutTable[],4,FALSE),0)) + (G130 * IFERROR(VLOOKUP(H130,PostWorkoutTable[],4,FALSE),0)) + (G131 * IFERROR(VLOOKUP(H131,PostWorkoutTable[],4,FALSE),0))</f>
        <v>30</v>
      </c>
    </row>
    <row r="129" spans="1:16" x14ac:dyDescent="0.25">
      <c r="A129" s="17"/>
      <c r="B129" s="17"/>
      <c r="C129" s="17"/>
      <c r="D129" s="17"/>
      <c r="E129" s="17"/>
      <c r="F129" s="17"/>
      <c r="G129" s="17"/>
      <c r="H129" s="17"/>
      <c r="I129" s="2">
        <v>6.2</v>
      </c>
      <c r="J129" s="2">
        <v>0.3</v>
      </c>
      <c r="K129" s="2">
        <v>52</v>
      </c>
      <c r="L129" s="51"/>
      <c r="M129" s="54" t="s">
        <v>21</v>
      </c>
      <c r="N129" s="54">
        <f xml:space="preserve"> SUM(I128:I131)</f>
        <v>45.2</v>
      </c>
      <c r="O129" s="54">
        <f>SUM(J128:J131)</f>
        <v>14.3</v>
      </c>
      <c r="P129" s="54">
        <f>SUM(K128:K131)</f>
        <v>96</v>
      </c>
    </row>
    <row r="130" spans="1:16" x14ac:dyDescent="0.25">
      <c r="A130" s="17"/>
      <c r="B130" s="17"/>
      <c r="C130" s="17"/>
      <c r="D130" s="17"/>
      <c r="E130" s="17"/>
      <c r="F130" s="17"/>
      <c r="G130" s="17"/>
      <c r="H130" s="17"/>
      <c r="I130" s="2"/>
      <c r="J130" s="2"/>
      <c r="K130" s="2"/>
      <c r="L130" s="51"/>
      <c r="M130" s="54" t="s">
        <v>38</v>
      </c>
      <c r="N130" s="54">
        <f>SUM(N125:N129)</f>
        <v>93.2</v>
      </c>
      <c r="O130" s="54">
        <f>SUM(O125:O129)</f>
        <v>41.3</v>
      </c>
      <c r="P130" s="54">
        <f>SUM(P125:P129)</f>
        <v>126</v>
      </c>
    </row>
    <row r="131" spans="1:16" x14ac:dyDescent="0.25">
      <c r="A131" s="17"/>
      <c r="B131" s="17"/>
      <c r="C131" s="17"/>
      <c r="D131" s="17"/>
      <c r="E131" s="17"/>
      <c r="F131" s="17"/>
      <c r="G131" s="17"/>
      <c r="H131" s="17"/>
      <c r="I131" s="2"/>
      <c r="J131" s="2"/>
      <c r="K131" s="2"/>
      <c r="L131" s="51"/>
      <c r="M131" s="51"/>
      <c r="N131" s="51"/>
      <c r="O131" s="51"/>
      <c r="P131" s="51"/>
    </row>
    <row r="132" spans="1:16" x14ac:dyDescent="0.25">
      <c r="A132" s="51"/>
      <c r="B132" s="51"/>
      <c r="C132" s="51"/>
      <c r="D132" s="51"/>
      <c r="E132" s="51"/>
      <c r="F132" s="51"/>
      <c r="G132" s="51"/>
      <c r="H132" s="51"/>
      <c r="I132" s="51">
        <f>SUM(I128:I131)</f>
        <v>45.2</v>
      </c>
      <c r="J132" s="51">
        <f>SUM(J128:J131)</f>
        <v>14.3</v>
      </c>
      <c r="K132" s="51">
        <f>SUM(K128:K131)</f>
        <v>96</v>
      </c>
      <c r="L132" s="51"/>
      <c r="M132" s="51"/>
      <c r="N132" s="51"/>
      <c r="O132" s="51"/>
      <c r="P132" s="51"/>
    </row>
    <row r="133" spans="1:16" ht="23.25" x14ac:dyDescent="0.35">
      <c r="A133" s="56">
        <v>43569</v>
      </c>
      <c r="B133" s="55"/>
      <c r="C133" s="55"/>
      <c r="D133" s="55"/>
      <c r="E133" s="55"/>
      <c r="F133" s="51"/>
      <c r="G133" s="51"/>
      <c r="H133" s="51"/>
      <c r="I133" s="51"/>
      <c r="J133" s="51"/>
      <c r="K133" s="51"/>
      <c r="L133" s="51"/>
      <c r="M133" s="51"/>
      <c r="N133" s="51"/>
      <c r="O133" s="51"/>
      <c r="P133" s="51"/>
    </row>
    <row r="134" spans="1:16" ht="18" thickBot="1" x14ac:dyDescent="0.35">
      <c r="A134" s="3" t="s">
        <v>48</v>
      </c>
      <c r="B134" s="3" t="s">
        <v>0</v>
      </c>
      <c r="C134" s="3" t="s">
        <v>36</v>
      </c>
      <c r="D134" s="3" t="s">
        <v>8</v>
      </c>
      <c r="E134" s="5" t="s">
        <v>9</v>
      </c>
      <c r="F134" s="5" t="s">
        <v>10</v>
      </c>
      <c r="G134" s="52"/>
      <c r="H134" s="53"/>
      <c r="I134" s="51"/>
      <c r="J134" s="51"/>
      <c r="K134" s="51"/>
      <c r="L134" s="51"/>
      <c r="M134" s="52"/>
      <c r="N134" s="54" t="s">
        <v>8</v>
      </c>
      <c r="O134" s="54" t="s">
        <v>9</v>
      </c>
      <c r="P134" s="54" t="s">
        <v>10</v>
      </c>
    </row>
    <row r="135" spans="1:16" ht="15.75" thickTop="1" x14ac:dyDescent="0.25">
      <c r="A135" s="18">
        <v>43563</v>
      </c>
      <c r="B135" s="16">
        <f>IFERROR(VLOOKUP(A135,OverviewTable[],2,FALSE),"?")</f>
        <v>130.19999999999999</v>
      </c>
      <c r="C135" s="16" t="str">
        <f>((N140 * 4) + (O140 * 9) + (P140 * 4))&amp;"/"&amp;IFERROR(VLOOKUP(A135,OverviewTable[],11,FALSE),"?")</f>
        <v>2548.125/2333.2</v>
      </c>
      <c r="D135" s="16" t="str">
        <f>N140&amp;"/"&amp;IFERROR(VLOOKUP(A135,OverviewTable[],12,FALSE),"?")</f>
        <v>119.5/130</v>
      </c>
      <c r="E135" s="16" t="str">
        <f>O140&amp;"/"&amp;IFERROR(VLOOKUP(A135,OverviewTable[],13,FALSE),"?")</f>
        <v>120.125/65</v>
      </c>
      <c r="F135" s="16" t="str">
        <f>P140&amp;"/"&amp;IFERROR(VLOOKUP(A135,OverviewTable[],14,FALSE),"?")</f>
        <v>247.25/307</v>
      </c>
      <c r="G135" s="53"/>
      <c r="H135" s="53"/>
      <c r="I135" s="51"/>
      <c r="J135" s="51"/>
      <c r="K135" s="51"/>
      <c r="L135" s="51"/>
      <c r="M135" s="54" t="s">
        <v>6</v>
      </c>
      <c r="N135" s="54">
        <f>(A138 * IFERROR(VLOOKUP(B138,BreakfastTable[],2,FALSE),0)) + (A139 * IFERROR(VLOOKUP(B139,BreakfastTable[],2,FALSE),0)) + (A140 * IFERROR(VLOOKUP(B140,BreakfastTable[],2,FALSE),0)) + (A141 * IFERROR(VLOOKUP(B141,BreakfastTable[],2,FALSE),0))</f>
        <v>15</v>
      </c>
      <c r="O135" s="54">
        <f>(A138 * IFERROR(VLOOKUP(B138,BreakfastTable[],3,FALSE),0)) + (A139 * IFERROR(VLOOKUP(B139,BreakfastTable[],3,FALSE),0)) + (A140 * IFERROR(VLOOKUP(B140,BreakfastTable[],3,FALSE),0)) + (A141 * IFERROR(VLOOKUP(B141,BreakfastTable[],3,FALSE),0))</f>
        <v>6.75</v>
      </c>
      <c r="P135" s="54">
        <f>(A138 * IFERROR(VLOOKUP(B138,BreakfastTable[],4,FALSE),0)) + (A139 * IFERROR(VLOOKUP(B139,BreakfastTable[],4,FALSE),0)) + (A140 * IFERROR(VLOOKUP(B140,BreakfastTable[],4,FALSE),0)) + (A141 * IFERROR(VLOOKUP(B141,BreakfastTable[],4,FALSE),0))</f>
        <v>22.5</v>
      </c>
    </row>
    <row r="136" spans="1:16" x14ac:dyDescent="0.25">
      <c r="A136" s="17"/>
      <c r="B136" s="17"/>
      <c r="C136" s="17"/>
      <c r="D136" s="17"/>
      <c r="E136" s="17"/>
      <c r="F136" s="17"/>
      <c r="G136" s="53"/>
      <c r="H136" s="53"/>
      <c r="I136" s="51"/>
      <c r="J136" s="51"/>
      <c r="K136" s="51"/>
      <c r="L136" s="51"/>
      <c r="M136" s="54" t="s">
        <v>11</v>
      </c>
      <c r="N136" s="54">
        <f>(C138 * IFERROR(VLOOKUP(D138,LunchTable[],2,FALSE),0)) + (C139 * IFERROR(VLOOKUP(D139,LunchTable[],2,FALSE),0)) + (C140 * IFERROR(VLOOKUP(D140,LunchTable[],2,FALSE),0)) + (C141 * IFERROR(VLOOKUP(D141,LunchTable[],2,FALSE),0))</f>
        <v>35</v>
      </c>
      <c r="O136" s="54">
        <f>(C138 * IFERROR(VLOOKUP(D138,LunchTable[],3,FALSE),0)) + (C139 * IFERROR(VLOOKUP(D139,LunchTable[],3,FALSE),0)) + (C140 * IFERROR(VLOOKUP(D140,LunchTable[],3,FALSE),0)) + (C141 * IFERROR(VLOOKUP(D141,LunchTable[],3,FALSE),0))</f>
        <v>50</v>
      </c>
      <c r="P136" s="54">
        <f>(C138 * IFERROR(VLOOKUP(D138,LunchTable[],4,FALSE),0)) + (C139 * IFERROR(VLOOKUP(D139,LunchTable[],4,FALSE),0)) + (C140 * IFERROR(VLOOKUP(D140,LunchTable[],4,FALSE),0)) + (C141 * IFERROR(VLOOKUP(D141,LunchTable[],4,FALSE),0))</f>
        <v>60</v>
      </c>
    </row>
    <row r="137" spans="1:16" ht="18" thickBot="1" x14ac:dyDescent="0.35">
      <c r="A137" s="10" t="s">
        <v>34</v>
      </c>
      <c r="B137" s="11" t="s">
        <v>6</v>
      </c>
      <c r="C137" s="10" t="s">
        <v>34</v>
      </c>
      <c r="D137" s="11" t="s">
        <v>11</v>
      </c>
      <c r="E137" s="10" t="s">
        <v>34</v>
      </c>
      <c r="F137" s="11" t="s">
        <v>12</v>
      </c>
      <c r="G137" s="10" t="s">
        <v>34</v>
      </c>
      <c r="H137" s="12" t="s">
        <v>35</v>
      </c>
      <c r="I137" s="5" t="s">
        <v>41</v>
      </c>
      <c r="J137" s="5" t="s">
        <v>42</v>
      </c>
      <c r="K137" s="5" t="s">
        <v>43</v>
      </c>
      <c r="L137" s="51"/>
      <c r="M137" s="54" t="s">
        <v>12</v>
      </c>
      <c r="N137" s="54">
        <f>(E138 * IFERROR(VLOOKUP(F138,DinnerTable[],2,FALSE),0)) + (E139 * IFERROR(VLOOKUP(F139,DinnerTable[],2,FALSE),0)) + (E140 * IFERROR(VLOOKUP(F140,DinnerTable[],2,FALSE),0)) + (E141 * IFERROR(VLOOKUP(F141,DinnerTable[],2,FALSE),0))</f>
        <v>69.5</v>
      </c>
      <c r="O137" s="54">
        <f>(E138 * IFERROR(VLOOKUP(F138,DinnerTable[],3,FALSE),0)) + (E139 * IFERROR(VLOOKUP(F139,DinnerTable[],3,FALSE),0)) + (E140 * IFERROR(VLOOKUP(F140,DinnerTable[],3,FALSE),0)) + (E141 * IFERROR(VLOOKUP(F141,DinnerTable[],3,FALSE),0))</f>
        <v>63.375</v>
      </c>
      <c r="P137" s="54">
        <f>(E138 * IFERROR(VLOOKUP(F138,DinnerTable[],4,FALSE),0)) + (E139 * IFERROR(VLOOKUP(F139,DinnerTable[],4,FALSE),0)) + (E140 * IFERROR(VLOOKUP(F140,DinnerTable[],4,FALSE),0)) + (E141 * IFERROR(VLOOKUP(F141,DinnerTable[],4,FALSE),0))</f>
        <v>164.75</v>
      </c>
    </row>
    <row r="138" spans="1:16" ht="15.75" thickTop="1" x14ac:dyDescent="0.25">
      <c r="A138" s="17">
        <v>0.75</v>
      </c>
      <c r="B138" s="17" t="s">
        <v>26</v>
      </c>
      <c r="C138" s="17">
        <v>0.5</v>
      </c>
      <c r="D138" s="17" t="s">
        <v>28</v>
      </c>
      <c r="E138" s="17">
        <v>0.25</v>
      </c>
      <c r="F138" s="17" t="s">
        <v>44</v>
      </c>
      <c r="G138" s="17"/>
      <c r="H138" s="17"/>
      <c r="I138" s="2"/>
      <c r="J138" s="2"/>
      <c r="K138" s="2"/>
      <c r="L138" s="51"/>
      <c r="M138" s="54" t="s">
        <v>35</v>
      </c>
      <c r="N138" s="54">
        <f>(G138 * IFERROR(VLOOKUP(H138,PostWorkoutTable[],2,FALSE),0)) + (G139 * IFERROR(VLOOKUP(H139,PostWorkoutTable[],2,FALSE),0)) + (G140 * IFERROR(VLOOKUP(H140,PostWorkoutTable[],2,FALSE),0)) + (G141 * IFERROR(VLOOKUP(H141,PostWorkoutTable[],2,FALSE),0))</f>
        <v>0</v>
      </c>
      <c r="O138" s="54">
        <f>(G138 * IFERROR(VLOOKUP(H138,PostWorkoutTable[],3,FALSE),0)) + (G139 * IFERROR(VLOOKUP(H139,PostWorkoutTable[],3,FALSE),0)) + (G140 * IFERROR(VLOOKUP(H140,PostWorkoutTable[],3,FALSE),0)) + (G141 * IFERROR(VLOOKUP(H141,PostWorkoutTable[],3,FALSE),0))</f>
        <v>0</v>
      </c>
      <c r="P138" s="54">
        <f>(G138 * IFERROR(VLOOKUP(H138,PostWorkoutTable[],4,FALSE),0)) + (G139 * IFERROR(VLOOKUP(H139,PostWorkoutTable[],4,FALSE),0)) + (G140 * IFERROR(VLOOKUP(H140,PostWorkoutTable[],4,FALSE),0)) + (G141 * IFERROR(VLOOKUP(H141,PostWorkoutTable[],4,FALSE),0))</f>
        <v>0</v>
      </c>
    </row>
    <row r="139" spans="1:16" x14ac:dyDescent="0.25">
      <c r="A139" s="17"/>
      <c r="B139" s="17"/>
      <c r="C139" s="17"/>
      <c r="D139" s="17"/>
      <c r="E139" s="17">
        <v>0.5</v>
      </c>
      <c r="F139" s="17" t="s">
        <v>45</v>
      </c>
      <c r="G139" s="17"/>
      <c r="H139" s="17"/>
      <c r="I139" s="2"/>
      <c r="J139" s="2"/>
      <c r="K139" s="2"/>
      <c r="L139" s="51"/>
      <c r="M139" s="54" t="s">
        <v>21</v>
      </c>
      <c r="N139" s="54">
        <f xml:space="preserve"> SUM(I138:I141)</f>
        <v>0</v>
      </c>
      <c r="O139" s="54">
        <f>SUM(J138:J141)</f>
        <v>0</v>
      </c>
      <c r="P139" s="54">
        <f>SUM(K138:K141)</f>
        <v>0</v>
      </c>
    </row>
    <row r="140" spans="1:16" x14ac:dyDescent="0.25">
      <c r="A140" s="17"/>
      <c r="B140" s="17"/>
      <c r="C140" s="17"/>
      <c r="D140" s="17"/>
      <c r="E140" s="17">
        <v>0.75</v>
      </c>
      <c r="F140" s="17" t="s">
        <v>56</v>
      </c>
      <c r="G140" s="17"/>
      <c r="H140" s="17"/>
      <c r="I140" s="2"/>
      <c r="J140" s="2"/>
      <c r="K140" s="2"/>
      <c r="L140" s="51"/>
      <c r="M140" s="54" t="s">
        <v>38</v>
      </c>
      <c r="N140" s="54">
        <f>SUM(N135:N139)</f>
        <v>119.5</v>
      </c>
      <c r="O140" s="54">
        <f>SUM(O135:O139)</f>
        <v>120.125</v>
      </c>
      <c r="P140" s="54">
        <f>SUM(P135:P139)</f>
        <v>247.25</v>
      </c>
    </row>
    <row r="141" spans="1:16" x14ac:dyDescent="0.25">
      <c r="A141" s="17"/>
      <c r="B141" s="17"/>
      <c r="C141" s="17"/>
      <c r="D141" s="17"/>
      <c r="E141" s="17">
        <v>2</v>
      </c>
      <c r="F141" s="17" t="s">
        <v>68</v>
      </c>
      <c r="G141" s="17"/>
      <c r="H141" s="17"/>
      <c r="I141" s="2"/>
      <c r="J141" s="2"/>
      <c r="K141" s="2"/>
      <c r="L141" s="51"/>
      <c r="M141" s="51"/>
      <c r="N141" s="51"/>
      <c r="O141" s="51"/>
      <c r="P141" s="51"/>
    </row>
    <row r="142" spans="1:16" x14ac:dyDescent="0.25">
      <c r="A142" s="51"/>
      <c r="B142" s="51"/>
      <c r="C142" s="51"/>
      <c r="D142" s="51"/>
      <c r="E142" s="51"/>
      <c r="F142" s="51"/>
      <c r="G142" s="51"/>
      <c r="H142" s="51"/>
      <c r="I142" s="51">
        <f>SUM(I138:I141)</f>
        <v>0</v>
      </c>
      <c r="J142" s="51">
        <f>SUM(J138:J141)</f>
        <v>0</v>
      </c>
      <c r="K142" s="51">
        <f>SUM(K138:K141)</f>
        <v>0</v>
      </c>
      <c r="L142" s="51"/>
      <c r="M142" s="51"/>
      <c r="N142" s="51"/>
      <c r="O142" s="51"/>
      <c r="P142" s="51"/>
    </row>
    <row r="143" spans="1:16" ht="23.25" x14ac:dyDescent="0.35">
      <c r="A143" s="56">
        <v>43570</v>
      </c>
      <c r="B143" s="55"/>
      <c r="C143" s="55"/>
      <c r="D143" s="55"/>
      <c r="E143" s="55"/>
      <c r="F143" s="51"/>
      <c r="G143" s="51"/>
      <c r="H143" s="51"/>
      <c r="I143" s="51"/>
      <c r="J143" s="51"/>
      <c r="K143" s="51"/>
      <c r="L143" s="51"/>
      <c r="M143" s="51"/>
      <c r="N143" s="51"/>
      <c r="O143" s="51"/>
      <c r="P143" s="51"/>
    </row>
    <row r="144" spans="1:16" ht="18" thickBot="1" x14ac:dyDescent="0.35">
      <c r="A144" s="3" t="s">
        <v>48</v>
      </c>
      <c r="B144" s="3" t="s">
        <v>0</v>
      </c>
      <c r="C144" s="3" t="s">
        <v>36</v>
      </c>
      <c r="D144" s="3" t="s">
        <v>8</v>
      </c>
      <c r="E144" s="5" t="s">
        <v>9</v>
      </c>
      <c r="F144" s="5" t="s">
        <v>10</v>
      </c>
      <c r="G144" s="52"/>
      <c r="H144" s="53"/>
      <c r="I144" s="51"/>
      <c r="J144" s="51"/>
      <c r="K144" s="51"/>
      <c r="L144" s="51"/>
      <c r="M144" s="52"/>
      <c r="N144" s="54" t="s">
        <v>8</v>
      </c>
      <c r="O144" s="54" t="s">
        <v>9</v>
      </c>
      <c r="P144" s="54" t="s">
        <v>10</v>
      </c>
    </row>
    <row r="145" spans="1:16" ht="15.75" thickTop="1" x14ac:dyDescent="0.25">
      <c r="A145" s="18">
        <v>43570</v>
      </c>
      <c r="B145" s="16">
        <f>IFERROR(VLOOKUP(A145,OverviewTable[],2,FALSE),"?")</f>
        <v>132.19999999999999</v>
      </c>
      <c r="C145" s="16" t="str">
        <f>((N150 * 4) + (O150 * 9) + (P150 * 4))&amp;"/"&amp;IFERROR(VLOOKUP(A145,OverviewTable[],11,FALSE),"?")</f>
        <v>2235.5/2365.2</v>
      </c>
      <c r="D145" s="16" t="str">
        <f>N150&amp;"/"&amp;IFERROR(VLOOKUP(A145,OverviewTable[],12,FALSE),"?")</f>
        <v>127.3/132</v>
      </c>
      <c r="E145" s="16" t="str">
        <f>O150&amp;"/"&amp;IFERROR(VLOOKUP(A145,OverviewTable[],13,FALSE),"?")</f>
        <v>113.9/66</v>
      </c>
      <c r="F145" s="16" t="str">
        <f>P150&amp;"/"&amp;IFERROR(VLOOKUP(A145,OverviewTable[],14,FALSE),"?")</f>
        <v>175.3/311</v>
      </c>
      <c r="G145" s="53"/>
      <c r="H145" s="53"/>
      <c r="I145" s="51"/>
      <c r="J145" s="51"/>
      <c r="K145" s="51"/>
      <c r="L145" s="51"/>
      <c r="M145" s="54" t="s">
        <v>6</v>
      </c>
      <c r="N145" s="54">
        <f>(A148 * IFERROR(VLOOKUP(B148,BreakfastTable[],2,FALSE),0)) + (A149 * IFERROR(VLOOKUP(B149,BreakfastTable[],2,FALSE),0)) + (A150 * IFERROR(VLOOKUP(B150,BreakfastTable[],2,FALSE),0)) + (A151 * IFERROR(VLOOKUP(B151,BreakfastTable[],2,FALSE),0))</f>
        <v>32.299999999999997</v>
      </c>
      <c r="O145" s="54">
        <f>(A148 * IFERROR(VLOOKUP(B148,BreakfastTable[],3,FALSE),0)) + (A149 * IFERROR(VLOOKUP(B149,BreakfastTable[],3,FALSE),0)) + (A150 * IFERROR(VLOOKUP(B150,BreakfastTable[],3,FALSE),0)) + (A151 * IFERROR(VLOOKUP(B151,BreakfastTable[],3,FALSE),0))</f>
        <v>14.9</v>
      </c>
      <c r="P145" s="54">
        <f>(A148 * IFERROR(VLOOKUP(B148,BreakfastTable[],4,FALSE),0)) + (A149 * IFERROR(VLOOKUP(B149,BreakfastTable[],4,FALSE),0)) + (A150 * IFERROR(VLOOKUP(B150,BreakfastTable[],4,FALSE),0)) + (A151 * IFERROR(VLOOKUP(B151,BreakfastTable[],4,FALSE),0))</f>
        <v>55.3</v>
      </c>
    </row>
    <row r="146" spans="1:16" x14ac:dyDescent="0.25">
      <c r="A146" s="17"/>
      <c r="B146" s="17"/>
      <c r="C146" s="17"/>
      <c r="D146" s="17"/>
      <c r="E146" s="17"/>
      <c r="F146" s="17"/>
      <c r="G146" s="53"/>
      <c r="H146" s="53"/>
      <c r="I146" s="51"/>
      <c r="J146" s="51"/>
      <c r="K146" s="51"/>
      <c r="L146" s="51"/>
      <c r="M146" s="54" t="s">
        <v>11</v>
      </c>
      <c r="N146" s="54">
        <f>(C148 * IFERROR(VLOOKUP(D148,LunchTable[],2,FALSE),0)) + (C149 * IFERROR(VLOOKUP(D149,LunchTable[],2,FALSE),0)) + (C150 * IFERROR(VLOOKUP(D150,LunchTable[],2,FALSE),0)) + (C151 * IFERROR(VLOOKUP(D151,LunchTable[],2,FALSE),0))</f>
        <v>35</v>
      </c>
      <c r="O146" s="54">
        <f>(C148 * IFERROR(VLOOKUP(D148,LunchTable[],3,FALSE),0)) + (C149 * IFERROR(VLOOKUP(D149,LunchTable[],3,FALSE),0)) + (C150 * IFERROR(VLOOKUP(D150,LunchTable[],3,FALSE),0)) + (C151 * IFERROR(VLOOKUP(D151,LunchTable[],3,FALSE),0))</f>
        <v>50</v>
      </c>
      <c r="P146" s="54">
        <f>(C148 * IFERROR(VLOOKUP(D148,LunchTable[],4,FALSE),0)) + (C149 * IFERROR(VLOOKUP(D149,LunchTable[],4,FALSE),0)) + (C150 * IFERROR(VLOOKUP(D150,LunchTable[],4,FALSE),0)) + (C151 * IFERROR(VLOOKUP(D151,LunchTable[],4,FALSE),0))</f>
        <v>60</v>
      </c>
    </row>
    <row r="147" spans="1:16" ht="18" thickBot="1" x14ac:dyDescent="0.35">
      <c r="A147" s="10" t="s">
        <v>34</v>
      </c>
      <c r="B147" s="11" t="s">
        <v>6</v>
      </c>
      <c r="C147" s="10" t="s">
        <v>34</v>
      </c>
      <c r="D147" s="11" t="s">
        <v>11</v>
      </c>
      <c r="E147" s="10" t="s">
        <v>34</v>
      </c>
      <c r="F147" s="11" t="s">
        <v>12</v>
      </c>
      <c r="G147" s="10" t="s">
        <v>34</v>
      </c>
      <c r="H147" s="12" t="s">
        <v>35</v>
      </c>
      <c r="I147" s="5" t="s">
        <v>41</v>
      </c>
      <c r="J147" s="5" t="s">
        <v>42</v>
      </c>
      <c r="K147" s="5" t="s">
        <v>43</v>
      </c>
      <c r="L147" s="51"/>
      <c r="M147" s="54" t="s">
        <v>12</v>
      </c>
      <c r="N147" s="54">
        <f>(E148 * IFERROR(VLOOKUP(F148,DinnerTable[],2,FALSE),0)) + (E149 * IFERROR(VLOOKUP(F149,DinnerTable[],2,FALSE),0)) + (E150 * IFERROR(VLOOKUP(F150,DinnerTable[],2,FALSE),0)) + (E151 * IFERROR(VLOOKUP(F151,DinnerTable[],2,FALSE),0))</f>
        <v>40</v>
      </c>
      <c r="O147" s="54">
        <f>(E148 * IFERROR(VLOOKUP(F148,DinnerTable[],3,FALSE),0)) + (E149 * IFERROR(VLOOKUP(F149,DinnerTable[],3,FALSE),0)) + (E150 * IFERROR(VLOOKUP(F150,DinnerTable[],3,FALSE),0)) + (E151 * IFERROR(VLOOKUP(F151,DinnerTable[],3,FALSE),0))</f>
        <v>40</v>
      </c>
      <c r="P147" s="54">
        <f>(E148 * IFERROR(VLOOKUP(F148,DinnerTable[],4,FALSE),0)) + (E149 * IFERROR(VLOOKUP(F149,DinnerTable[],4,FALSE),0)) + (E150 * IFERROR(VLOOKUP(F150,DinnerTable[],4,FALSE),0)) + (E151 * IFERROR(VLOOKUP(F151,DinnerTable[],4,FALSE),0))</f>
        <v>30</v>
      </c>
    </row>
    <row r="148" spans="1:16" ht="15.75" thickTop="1" x14ac:dyDescent="0.25">
      <c r="A148" s="17">
        <v>1</v>
      </c>
      <c r="B148" s="17" t="s">
        <v>98</v>
      </c>
      <c r="C148" s="17">
        <v>0.5</v>
      </c>
      <c r="D148" s="17" t="s">
        <v>28</v>
      </c>
      <c r="E148" s="17">
        <v>1</v>
      </c>
      <c r="F148" s="17" t="s">
        <v>67</v>
      </c>
      <c r="G148" s="17">
        <v>1</v>
      </c>
      <c r="H148" s="17" t="s">
        <v>26</v>
      </c>
      <c r="I148" s="2"/>
      <c r="J148" s="2"/>
      <c r="K148" s="2"/>
      <c r="L148" s="51"/>
      <c r="M148" s="54" t="s">
        <v>35</v>
      </c>
      <c r="N148" s="54">
        <f>(G148 * IFERROR(VLOOKUP(H148,PostWorkoutTable[],2,FALSE),0)) + (G149 * IFERROR(VLOOKUP(H149,PostWorkoutTable[],2,FALSE),0)) + (G150 * IFERROR(VLOOKUP(H150,PostWorkoutTable[],2,FALSE),0)) + (G151 * IFERROR(VLOOKUP(H151,PostWorkoutTable[],2,FALSE),0))</f>
        <v>20</v>
      </c>
      <c r="O148" s="54">
        <f>(G148 * IFERROR(VLOOKUP(H148,PostWorkoutTable[],3,FALSE),0)) + (G149 * IFERROR(VLOOKUP(H149,PostWorkoutTable[],3,FALSE),0)) + (G150 * IFERROR(VLOOKUP(H150,PostWorkoutTable[],3,FALSE),0)) + (G151 * IFERROR(VLOOKUP(H151,PostWorkoutTable[],3,FALSE),0))</f>
        <v>9</v>
      </c>
      <c r="P148" s="54">
        <f>(G148 * IFERROR(VLOOKUP(H148,PostWorkoutTable[],4,FALSE),0)) + (G149 * IFERROR(VLOOKUP(H149,PostWorkoutTable[],4,FALSE),0)) + (G150 * IFERROR(VLOOKUP(H150,PostWorkoutTable[],4,FALSE),0)) + (G151 * IFERROR(VLOOKUP(H151,PostWorkoutTable[],4,FALSE),0))</f>
        <v>30</v>
      </c>
    </row>
    <row r="149" spans="1:16" x14ac:dyDescent="0.25">
      <c r="A149" s="17"/>
      <c r="B149" s="17"/>
      <c r="C149" s="17"/>
      <c r="D149" s="17"/>
      <c r="E149" s="17">
        <v>1</v>
      </c>
      <c r="F149" s="17" t="s">
        <v>50</v>
      </c>
      <c r="G149" s="17"/>
      <c r="H149" s="17"/>
      <c r="I149" s="2"/>
      <c r="J149" s="2"/>
      <c r="K149" s="2"/>
      <c r="L149" s="51"/>
      <c r="M149" s="54" t="s">
        <v>21</v>
      </c>
      <c r="N149" s="54">
        <f xml:space="preserve"> SUM(I148:I151)</f>
        <v>0</v>
      </c>
      <c r="O149" s="54">
        <f>SUM(J148:J151)</f>
        <v>0</v>
      </c>
      <c r="P149" s="54">
        <f>SUM(K148:K151)</f>
        <v>0</v>
      </c>
    </row>
    <row r="150" spans="1:16" x14ac:dyDescent="0.25">
      <c r="A150" s="17"/>
      <c r="B150" s="17"/>
      <c r="C150" s="17"/>
      <c r="D150" s="17"/>
      <c r="E150" s="17"/>
      <c r="F150" s="17"/>
      <c r="G150" s="17"/>
      <c r="H150" s="17"/>
      <c r="I150" s="2"/>
      <c r="J150" s="2"/>
      <c r="K150" s="2"/>
      <c r="L150" s="51"/>
      <c r="M150" s="54" t="s">
        <v>38</v>
      </c>
      <c r="N150" s="54">
        <f>SUM(N145:N149)</f>
        <v>127.3</v>
      </c>
      <c r="O150" s="54">
        <f>SUM(O145:O149)</f>
        <v>113.9</v>
      </c>
      <c r="P150" s="54">
        <f>SUM(P145:P149)</f>
        <v>175.3</v>
      </c>
    </row>
    <row r="151" spans="1:16" x14ac:dyDescent="0.25">
      <c r="A151" s="17"/>
      <c r="B151" s="17"/>
      <c r="C151" s="17"/>
      <c r="D151" s="17"/>
      <c r="E151" s="17"/>
      <c r="F151" s="17"/>
      <c r="G151" s="17"/>
      <c r="H151" s="17"/>
      <c r="I151" s="2"/>
      <c r="J151" s="2"/>
      <c r="K151" s="2"/>
      <c r="L151" s="51"/>
      <c r="M151" s="51"/>
      <c r="N151" s="51"/>
      <c r="O151" s="51"/>
      <c r="P151" s="51"/>
    </row>
    <row r="152" spans="1:16" x14ac:dyDescent="0.25">
      <c r="A152" s="51"/>
      <c r="B152" s="51"/>
      <c r="C152" s="51"/>
      <c r="D152" s="51"/>
      <c r="E152" s="51"/>
      <c r="F152" s="51"/>
      <c r="G152" s="51"/>
      <c r="H152" s="51"/>
      <c r="I152" s="51">
        <f>SUM(I148:I151)</f>
        <v>0</v>
      </c>
      <c r="J152" s="51">
        <f>SUM(J148:J151)</f>
        <v>0</v>
      </c>
      <c r="K152" s="51">
        <f>SUM(K148:K151)</f>
        <v>0</v>
      </c>
      <c r="L152" s="51"/>
      <c r="M152" s="51"/>
      <c r="N152" s="51"/>
      <c r="O152" s="51"/>
      <c r="P152" s="51"/>
    </row>
    <row r="153" spans="1:16" ht="23.25" x14ac:dyDescent="0.35">
      <c r="A153" s="56">
        <v>43571</v>
      </c>
      <c r="B153" s="55"/>
      <c r="C153" s="55"/>
      <c r="D153" s="55"/>
      <c r="E153" s="55"/>
      <c r="F153" s="51"/>
      <c r="G153" s="51"/>
      <c r="H153" s="51"/>
      <c r="I153" s="51"/>
      <c r="J153" s="51"/>
      <c r="K153" s="51"/>
      <c r="L153" s="51"/>
      <c r="M153" s="51"/>
      <c r="N153" s="51"/>
      <c r="O153" s="51"/>
      <c r="P153" s="51"/>
    </row>
    <row r="154" spans="1:16" ht="18" thickBot="1" x14ac:dyDescent="0.35">
      <c r="A154" s="3" t="s">
        <v>48</v>
      </c>
      <c r="B154" s="3" t="s">
        <v>0</v>
      </c>
      <c r="C154" s="3" t="s">
        <v>36</v>
      </c>
      <c r="D154" s="3" t="s">
        <v>8</v>
      </c>
      <c r="E154" s="5" t="s">
        <v>9</v>
      </c>
      <c r="F154" s="5" t="s">
        <v>10</v>
      </c>
      <c r="G154" s="52"/>
      <c r="H154" s="53"/>
      <c r="I154" s="51"/>
      <c r="J154" s="51"/>
      <c r="K154" s="51"/>
      <c r="L154" s="51"/>
      <c r="M154" s="52"/>
      <c r="N154" s="54" t="s">
        <v>8</v>
      </c>
      <c r="O154" s="54" t="s">
        <v>9</v>
      </c>
      <c r="P154" s="54" t="s">
        <v>10</v>
      </c>
    </row>
    <row r="155" spans="1:16" ht="15.75" thickTop="1" x14ac:dyDescent="0.25">
      <c r="A155" s="18">
        <v>43570</v>
      </c>
      <c r="B155" s="16">
        <f>IFERROR(VLOOKUP(A155,OverviewTable[],2,FALSE),"?")</f>
        <v>132.19999999999999</v>
      </c>
      <c r="C155" s="16" t="str">
        <f>((N160 * 4) + (O160 * 9) + (P160 * 4))&amp;"/"&amp;IFERROR(VLOOKUP(A155,OverviewTable[],11,FALSE),"?")</f>
        <v>1956.7/2365.2</v>
      </c>
      <c r="D155" s="16" t="str">
        <f>N160&amp;"/"&amp;IFERROR(VLOOKUP(A155,OverviewTable[],12,FALSE),"?")</f>
        <v>86.4/132</v>
      </c>
      <c r="E155" s="16" t="str">
        <f>O160&amp;"/"&amp;IFERROR(VLOOKUP(A155,OverviewTable[],13,FALSE),"?")</f>
        <v>53.5/66</v>
      </c>
      <c r="F155" s="16" t="str">
        <f>P160&amp;"/"&amp;IFERROR(VLOOKUP(A155,OverviewTable[],14,FALSE),"?")</f>
        <v>282.4/311</v>
      </c>
      <c r="G155" s="53"/>
      <c r="H155" s="53"/>
      <c r="I155" s="51"/>
      <c r="J155" s="51"/>
      <c r="K155" s="51"/>
      <c r="L155" s="51"/>
      <c r="M155" s="54" t="s">
        <v>6</v>
      </c>
      <c r="N155" s="54">
        <f>(A158 * IFERROR(VLOOKUP(B158,BreakfastTable[],2,FALSE),0)) + (A159 * IFERROR(VLOOKUP(B159,BreakfastTable[],2,FALSE),0)) + (A160 * IFERROR(VLOOKUP(B160,BreakfastTable[],2,FALSE),0)) + (A161 * IFERROR(VLOOKUP(B161,BreakfastTable[],2,FALSE),0))</f>
        <v>0</v>
      </c>
      <c r="O155" s="54">
        <f>(A158 * IFERROR(VLOOKUP(B158,BreakfastTable[],3,FALSE),0)) + (A159 * IFERROR(VLOOKUP(B159,BreakfastTable[],3,FALSE),0)) + (A160 * IFERROR(VLOOKUP(B160,BreakfastTable[],3,FALSE),0)) + (A161 * IFERROR(VLOOKUP(B161,BreakfastTable[],3,FALSE),0))</f>
        <v>0</v>
      </c>
      <c r="P155" s="54">
        <f>(A158 * IFERROR(VLOOKUP(B158,BreakfastTable[],4,FALSE),0)) + (A159 * IFERROR(VLOOKUP(B159,BreakfastTable[],4,FALSE),0)) + (A160 * IFERROR(VLOOKUP(B160,BreakfastTable[],4,FALSE),0)) + (A161 * IFERROR(VLOOKUP(B161,BreakfastTable[],4,FALSE),0))</f>
        <v>0</v>
      </c>
    </row>
    <row r="156" spans="1:16" x14ac:dyDescent="0.25">
      <c r="A156" s="17"/>
      <c r="B156" s="17"/>
      <c r="C156" s="17"/>
      <c r="D156" s="17"/>
      <c r="E156" s="17"/>
      <c r="F156" s="17"/>
      <c r="G156" s="53"/>
      <c r="H156" s="53"/>
      <c r="I156" s="51"/>
      <c r="J156" s="51"/>
      <c r="K156" s="51"/>
      <c r="L156" s="51"/>
      <c r="M156" s="54" t="s">
        <v>11</v>
      </c>
      <c r="N156" s="54">
        <f>(C158 * IFERROR(VLOOKUP(D158,LunchTable[],2,FALSE),0)) + (C159 * IFERROR(VLOOKUP(D159,LunchTable[],2,FALSE),0)) + (C160 * IFERROR(VLOOKUP(D160,LunchTable[],2,FALSE),0)) + (C161 * IFERROR(VLOOKUP(D161,LunchTable[],2,FALSE),0))</f>
        <v>31</v>
      </c>
      <c r="O156" s="54">
        <f>(C158 * IFERROR(VLOOKUP(D158,LunchTable[],3,FALSE),0)) + (C159 * IFERROR(VLOOKUP(D159,LunchTable[],3,FALSE),0)) + (C160 * IFERROR(VLOOKUP(D160,LunchTable[],3,FALSE),0)) + (C161 * IFERROR(VLOOKUP(D161,LunchTable[],3,FALSE),0))</f>
        <v>13</v>
      </c>
      <c r="P156" s="54">
        <f>(C158 * IFERROR(VLOOKUP(D158,LunchTable[],4,FALSE),0)) + (C159 * IFERROR(VLOOKUP(D159,LunchTable[],4,FALSE),0)) + (C160 * IFERROR(VLOOKUP(D160,LunchTable[],4,FALSE),0)) + (C161 * IFERROR(VLOOKUP(D161,LunchTable[],4,FALSE),0))</f>
        <v>59</v>
      </c>
    </row>
    <row r="157" spans="1:16" ht="18" thickBot="1" x14ac:dyDescent="0.35">
      <c r="A157" s="10" t="s">
        <v>34</v>
      </c>
      <c r="B157" s="11" t="s">
        <v>6</v>
      </c>
      <c r="C157" s="10" t="s">
        <v>34</v>
      </c>
      <c r="D157" s="11" t="s">
        <v>11</v>
      </c>
      <c r="E157" s="10" t="s">
        <v>34</v>
      </c>
      <c r="F157" s="11" t="s">
        <v>12</v>
      </c>
      <c r="G157" s="10" t="s">
        <v>34</v>
      </c>
      <c r="H157" s="12" t="s">
        <v>35</v>
      </c>
      <c r="I157" s="5" t="s">
        <v>41</v>
      </c>
      <c r="J157" s="5" t="s">
        <v>42</v>
      </c>
      <c r="K157" s="5" t="s">
        <v>43</v>
      </c>
      <c r="L157" s="51"/>
      <c r="M157" s="54" t="s">
        <v>12</v>
      </c>
      <c r="N157" s="54">
        <f>(E158 * IFERROR(VLOOKUP(F158,DinnerTable[],2,FALSE),0)) + (E159 * IFERROR(VLOOKUP(F159,DinnerTable[],2,FALSE),0)) + (E160 * IFERROR(VLOOKUP(F160,DinnerTable[],2,FALSE),0)) + (E161 * IFERROR(VLOOKUP(F161,DinnerTable[],2,FALSE),0))</f>
        <v>41.5</v>
      </c>
      <c r="O157" s="54">
        <f>(E158 * IFERROR(VLOOKUP(F158,DinnerTable[],3,FALSE),0)) + (E159 * IFERROR(VLOOKUP(F159,DinnerTable[],3,FALSE),0)) + (E160 * IFERROR(VLOOKUP(F160,DinnerTable[],3,FALSE),0)) + (E161 * IFERROR(VLOOKUP(F161,DinnerTable[],3,FALSE),0))</f>
        <v>1</v>
      </c>
      <c r="P157" s="54">
        <f>(E158 * IFERROR(VLOOKUP(F158,DinnerTable[],4,FALSE),0)) + (E159 * IFERROR(VLOOKUP(F159,DinnerTable[],4,FALSE),0)) + (E160 * IFERROR(VLOOKUP(F160,DinnerTable[],4,FALSE),0)) + (E161 * IFERROR(VLOOKUP(F161,DinnerTable[],4,FALSE),0))</f>
        <v>162.5</v>
      </c>
    </row>
    <row r="158" spans="1:16" ht="15.75" thickTop="1" x14ac:dyDescent="0.25">
      <c r="A158" s="17"/>
      <c r="B158" s="17"/>
      <c r="C158" s="17">
        <v>1</v>
      </c>
      <c r="D158" s="17" t="s">
        <v>23</v>
      </c>
      <c r="E158" s="17">
        <v>0.5</v>
      </c>
      <c r="F158" s="17" t="s">
        <v>32</v>
      </c>
      <c r="G158" s="17"/>
      <c r="H158" s="17"/>
      <c r="I158" s="2">
        <v>12.9</v>
      </c>
      <c r="J158" s="2">
        <v>39</v>
      </c>
      <c r="K158" s="2">
        <v>27.9</v>
      </c>
      <c r="L158" s="51"/>
      <c r="M158" s="54" t="s">
        <v>35</v>
      </c>
      <c r="N158" s="54">
        <f>(G158 * IFERROR(VLOOKUP(H158,PostWorkoutTable[],2,FALSE),0)) + (G159 * IFERROR(VLOOKUP(H159,PostWorkoutTable[],2,FALSE),0)) + (G160 * IFERROR(VLOOKUP(H160,PostWorkoutTable[],2,FALSE),0)) + (G161 * IFERROR(VLOOKUP(H161,PostWorkoutTable[],2,FALSE),0))</f>
        <v>0</v>
      </c>
      <c r="O158" s="54">
        <f>(G158 * IFERROR(VLOOKUP(H158,PostWorkoutTable[],3,FALSE),0)) + (G159 * IFERROR(VLOOKUP(H159,PostWorkoutTable[],3,FALSE),0)) + (G160 * IFERROR(VLOOKUP(H160,PostWorkoutTable[],3,FALSE),0)) + (G161 * IFERROR(VLOOKUP(H161,PostWorkoutTable[],3,FALSE),0))</f>
        <v>0</v>
      </c>
      <c r="P158" s="54">
        <f>(G158 * IFERROR(VLOOKUP(H158,PostWorkoutTable[],4,FALSE),0)) + (G159 * IFERROR(VLOOKUP(H159,PostWorkoutTable[],4,FALSE),0)) + (G160 * IFERROR(VLOOKUP(H160,PostWorkoutTable[],4,FALSE),0)) + (G161 * IFERROR(VLOOKUP(H161,PostWorkoutTable[],4,FALSE),0))</f>
        <v>0</v>
      </c>
    </row>
    <row r="159" spans="1:16" x14ac:dyDescent="0.25">
      <c r="A159" s="17"/>
      <c r="B159" s="17"/>
      <c r="C159" s="17">
        <v>0.25</v>
      </c>
      <c r="D159" s="17" t="s">
        <v>51</v>
      </c>
      <c r="E159" s="17">
        <v>1</v>
      </c>
      <c r="F159" s="17" t="s">
        <v>50</v>
      </c>
      <c r="G159" s="17"/>
      <c r="H159" s="17"/>
      <c r="I159" s="2">
        <v>1</v>
      </c>
      <c r="J159" s="2">
        <v>0.5</v>
      </c>
      <c r="K159" s="2">
        <v>33</v>
      </c>
      <c r="L159" s="51"/>
      <c r="M159" s="54" t="s">
        <v>21</v>
      </c>
      <c r="N159" s="54">
        <f xml:space="preserve"> SUM(I158:I161)</f>
        <v>13.9</v>
      </c>
      <c r="O159" s="54">
        <f>SUM(J158:J161)</f>
        <v>39.5</v>
      </c>
      <c r="P159" s="54">
        <f>SUM(K158:K161)</f>
        <v>60.9</v>
      </c>
    </row>
    <row r="160" spans="1:16" x14ac:dyDescent="0.25">
      <c r="A160" s="17"/>
      <c r="B160" s="17"/>
      <c r="C160" s="17">
        <v>1</v>
      </c>
      <c r="D160" s="17" t="s">
        <v>90</v>
      </c>
      <c r="E160" s="17">
        <v>1</v>
      </c>
      <c r="F160" s="17" t="s">
        <v>79</v>
      </c>
      <c r="G160" s="17"/>
      <c r="H160" s="17"/>
      <c r="I160" s="2"/>
      <c r="J160" s="2"/>
      <c r="K160" s="2"/>
      <c r="L160" s="51"/>
      <c r="M160" s="54" t="s">
        <v>38</v>
      </c>
      <c r="N160" s="54">
        <f>SUM(N155:N159)</f>
        <v>86.4</v>
      </c>
      <c r="O160" s="54">
        <f>SUM(O155:O159)</f>
        <v>53.5</v>
      </c>
      <c r="P160" s="54">
        <f>SUM(P155:P159)</f>
        <v>282.39999999999998</v>
      </c>
    </row>
    <row r="161" spans="1:16" x14ac:dyDescent="0.25">
      <c r="A161" s="17"/>
      <c r="B161" s="17"/>
      <c r="C161" s="17"/>
      <c r="D161" s="17"/>
      <c r="E161" s="17"/>
      <c r="F161" s="17"/>
      <c r="G161" s="17"/>
      <c r="H161" s="17"/>
      <c r="I161" s="2"/>
      <c r="J161" s="2"/>
      <c r="K161" s="2"/>
      <c r="L161" s="51"/>
      <c r="M161" s="51"/>
      <c r="N161" s="51"/>
      <c r="O161" s="51"/>
      <c r="P161" s="51"/>
    </row>
    <row r="162" spans="1:16" x14ac:dyDescent="0.25">
      <c r="A162" s="51"/>
      <c r="B162" s="51"/>
      <c r="C162" s="51"/>
      <c r="D162" s="51"/>
      <c r="E162" s="51"/>
      <c r="F162" s="51"/>
      <c r="G162" s="51"/>
      <c r="H162" s="51"/>
      <c r="I162" s="51">
        <f>SUM(I158:I161)</f>
        <v>13.9</v>
      </c>
      <c r="J162" s="51">
        <f>SUM(J158:J161)</f>
        <v>39.5</v>
      </c>
      <c r="K162" s="51">
        <f>SUM(K158:K161)</f>
        <v>60.9</v>
      </c>
      <c r="L162" s="51"/>
      <c r="M162" s="51"/>
      <c r="N162" s="51"/>
      <c r="O162" s="51"/>
      <c r="P162" s="51"/>
    </row>
    <row r="163" spans="1:16" ht="23.25" x14ac:dyDescent="0.35">
      <c r="A163" s="56">
        <v>43572</v>
      </c>
      <c r="B163" s="55"/>
      <c r="C163" s="55"/>
      <c r="D163" s="55"/>
      <c r="E163" s="55"/>
      <c r="F163" s="51"/>
      <c r="G163" s="51"/>
      <c r="H163" s="51"/>
      <c r="I163" s="51"/>
      <c r="J163" s="51"/>
      <c r="K163" s="51"/>
      <c r="L163" s="51"/>
      <c r="M163" s="51"/>
      <c r="N163" s="51"/>
      <c r="O163" s="51"/>
      <c r="P163" s="51"/>
    </row>
    <row r="164" spans="1:16" ht="18" thickBot="1" x14ac:dyDescent="0.35">
      <c r="A164" s="3" t="s">
        <v>48</v>
      </c>
      <c r="B164" s="3" t="s">
        <v>0</v>
      </c>
      <c r="C164" s="3" t="s">
        <v>36</v>
      </c>
      <c r="D164" s="3" t="s">
        <v>8</v>
      </c>
      <c r="E164" s="5" t="s">
        <v>9</v>
      </c>
      <c r="F164" s="5" t="s">
        <v>10</v>
      </c>
      <c r="G164" s="52"/>
      <c r="H164" s="53"/>
      <c r="I164" s="51"/>
      <c r="J164" s="51"/>
      <c r="K164" s="51"/>
      <c r="L164" s="51"/>
      <c r="M164" s="52"/>
      <c r="N164" s="54" t="s">
        <v>8</v>
      </c>
      <c r="O164" s="54" t="s">
        <v>9</v>
      </c>
      <c r="P164" s="54" t="s">
        <v>10</v>
      </c>
    </row>
    <row r="165" spans="1:16" ht="15.75" thickTop="1" x14ac:dyDescent="0.25">
      <c r="A165" s="18">
        <v>43570</v>
      </c>
      <c r="B165" s="16">
        <f>IFERROR(VLOOKUP(A165,OverviewTable[],2,FALSE),"?")</f>
        <v>132.19999999999999</v>
      </c>
      <c r="C165" s="16" t="str">
        <f>((N170 * 4) + (O170 * 9) + (P170 * 4))&amp;"/"&amp;IFERROR(VLOOKUP(A165,OverviewTable[],11,FALSE),"?")</f>
        <v>3126.5/2365.2</v>
      </c>
      <c r="D165" s="16" t="str">
        <f>N170&amp;"/"&amp;IFERROR(VLOOKUP(A165,OverviewTable[],12,FALSE),"?")</f>
        <v>176.2/132</v>
      </c>
      <c r="E165" s="16" t="str">
        <f>O170&amp;"/"&amp;IFERROR(VLOOKUP(A165,OverviewTable[],13,FALSE),"?")</f>
        <v>130.9/66</v>
      </c>
      <c r="F165" s="16" t="str">
        <f>P170&amp;"/"&amp;IFERROR(VLOOKUP(A165,OverviewTable[],14,FALSE),"?")</f>
        <v>310.9/311</v>
      </c>
      <c r="G165" s="53"/>
      <c r="H165" s="53"/>
      <c r="I165" s="51"/>
      <c r="J165" s="51"/>
      <c r="K165" s="51"/>
      <c r="L165" s="51"/>
      <c r="M165" s="54" t="s">
        <v>6</v>
      </c>
      <c r="N165" s="54">
        <f>(A168 * IFERROR(VLOOKUP(B168,BreakfastTable[],2,FALSE),0)) + (A169 * IFERROR(VLOOKUP(B169,BreakfastTable[],2,FALSE),0)) + (A170 * IFERROR(VLOOKUP(B170,BreakfastTable[],2,FALSE),0)) + (A171 * IFERROR(VLOOKUP(B171,BreakfastTable[],2,FALSE),0))</f>
        <v>20</v>
      </c>
      <c r="O165" s="54">
        <f>(A168 * IFERROR(VLOOKUP(B168,BreakfastTable[],3,FALSE),0)) + (A169 * IFERROR(VLOOKUP(B169,BreakfastTable[],3,FALSE),0)) + (A170 * IFERROR(VLOOKUP(B170,BreakfastTable[],3,FALSE),0)) + (A171 * IFERROR(VLOOKUP(B171,BreakfastTable[],3,FALSE),0))</f>
        <v>9</v>
      </c>
      <c r="P165" s="54">
        <f>(A168 * IFERROR(VLOOKUP(B168,BreakfastTable[],4,FALSE),0)) + (A169 * IFERROR(VLOOKUP(B169,BreakfastTable[],4,FALSE),0)) + (A170 * IFERROR(VLOOKUP(B170,BreakfastTable[],4,FALSE),0)) + (A171 * IFERROR(VLOOKUP(B171,BreakfastTable[],4,FALSE),0))</f>
        <v>30</v>
      </c>
    </row>
    <row r="166" spans="1:16" x14ac:dyDescent="0.25">
      <c r="A166" s="17"/>
      <c r="B166" s="17"/>
      <c r="C166" s="17"/>
      <c r="D166" s="17"/>
      <c r="E166" s="17"/>
      <c r="F166" s="17"/>
      <c r="G166" s="53"/>
      <c r="H166" s="53"/>
      <c r="I166" s="51"/>
      <c r="J166" s="51"/>
      <c r="K166" s="51"/>
      <c r="L166" s="51"/>
      <c r="M166" s="54" t="s">
        <v>11</v>
      </c>
      <c r="N166" s="54">
        <f>(C168 * IFERROR(VLOOKUP(D168,LunchTable[],2,FALSE),0)) + (C169 * IFERROR(VLOOKUP(D169,LunchTable[],2,FALSE),0)) + (C170 * IFERROR(VLOOKUP(D170,LunchTable[],2,FALSE),0)) + (C171 * IFERROR(VLOOKUP(D171,LunchTable[],2,FALSE),0))</f>
        <v>62</v>
      </c>
      <c r="O166" s="54">
        <f>(C168 * IFERROR(VLOOKUP(D168,LunchTable[],3,FALSE),0)) + (C169 * IFERROR(VLOOKUP(D169,LunchTable[],3,FALSE),0)) + (C170 * IFERROR(VLOOKUP(D170,LunchTable[],3,FALSE),0)) + (C171 * IFERROR(VLOOKUP(D171,LunchTable[],3,FALSE),0))</f>
        <v>61</v>
      </c>
      <c r="P166" s="54">
        <f>(C168 * IFERROR(VLOOKUP(D168,LunchTable[],4,FALSE),0)) + (C169 * IFERROR(VLOOKUP(D169,LunchTable[],4,FALSE),0)) + (C170 * IFERROR(VLOOKUP(D170,LunchTable[],4,FALSE),0)) + (C171 * IFERROR(VLOOKUP(D171,LunchTable[],4,FALSE),0))</f>
        <v>142.5</v>
      </c>
    </row>
    <row r="167" spans="1:16" ht="18" thickBot="1" x14ac:dyDescent="0.35">
      <c r="A167" s="10" t="s">
        <v>34</v>
      </c>
      <c r="B167" s="11" t="s">
        <v>6</v>
      </c>
      <c r="C167" s="10" t="s">
        <v>34</v>
      </c>
      <c r="D167" s="11" t="s">
        <v>11</v>
      </c>
      <c r="E167" s="10" t="s">
        <v>34</v>
      </c>
      <c r="F167" s="11" t="s">
        <v>12</v>
      </c>
      <c r="G167" s="10" t="s">
        <v>34</v>
      </c>
      <c r="H167" s="12" t="s">
        <v>35</v>
      </c>
      <c r="I167" s="5" t="s">
        <v>41</v>
      </c>
      <c r="J167" s="5" t="s">
        <v>42</v>
      </c>
      <c r="K167" s="5" t="s">
        <v>43</v>
      </c>
      <c r="L167" s="51"/>
      <c r="M167" s="54" t="s">
        <v>12</v>
      </c>
      <c r="N167" s="54">
        <f>(E168 * IFERROR(VLOOKUP(F168,DinnerTable[],2,FALSE),0)) + (E169 * IFERROR(VLOOKUP(F169,DinnerTable[],2,FALSE),0)) + (E170 * IFERROR(VLOOKUP(F170,DinnerTable[],2,FALSE),0)) + (E171 * IFERROR(VLOOKUP(F171,DinnerTable[],2,FALSE),0))</f>
        <v>6</v>
      </c>
      <c r="O167" s="54">
        <f>(E168 * IFERROR(VLOOKUP(F168,DinnerTable[],3,FALSE),0)) + (E169 * IFERROR(VLOOKUP(F169,DinnerTable[],3,FALSE),0)) + (E170 * IFERROR(VLOOKUP(F170,DinnerTable[],3,FALSE),0)) + (E171 * IFERROR(VLOOKUP(F171,DinnerTable[],3,FALSE),0))</f>
        <v>18</v>
      </c>
      <c r="P167" s="54">
        <f>(E168 * IFERROR(VLOOKUP(F168,DinnerTable[],4,FALSE),0)) + (E169 * IFERROR(VLOOKUP(F169,DinnerTable[],4,FALSE),0)) + (E170 * IFERROR(VLOOKUP(F170,DinnerTable[],4,FALSE),0)) + (E171 * IFERROR(VLOOKUP(F171,DinnerTable[],4,FALSE),0))</f>
        <v>32</v>
      </c>
    </row>
    <row r="168" spans="1:16" ht="15.75" thickTop="1" x14ac:dyDescent="0.25">
      <c r="A168" s="17">
        <v>1</v>
      </c>
      <c r="B168" s="17" t="s">
        <v>26</v>
      </c>
      <c r="C168" s="17">
        <v>1</v>
      </c>
      <c r="D168" s="17" t="s">
        <v>25</v>
      </c>
      <c r="E168" s="17">
        <v>2</v>
      </c>
      <c r="F168" s="17" t="s">
        <v>68</v>
      </c>
      <c r="G168" s="17">
        <v>1</v>
      </c>
      <c r="H168" s="17" t="s">
        <v>96</v>
      </c>
      <c r="I168" s="2">
        <v>56</v>
      </c>
      <c r="J168" s="2">
        <v>28</v>
      </c>
      <c r="K168" s="2">
        <v>56</v>
      </c>
      <c r="L168" s="51"/>
      <c r="M168" s="54" t="s">
        <v>35</v>
      </c>
      <c r="N168" s="54">
        <f>(G168 * IFERROR(VLOOKUP(H168,PostWorkoutTable[],2,FALSE),0)) + (G169 * IFERROR(VLOOKUP(H169,PostWorkoutTable[],2,FALSE),0)) + (G170 * IFERROR(VLOOKUP(H170,PostWorkoutTable[],2,FALSE),0)) + (G171 * IFERROR(VLOOKUP(H171,PostWorkoutTable[],2,FALSE),0))</f>
        <v>32.200000000000003</v>
      </c>
      <c r="O168" s="54">
        <f>(G168 * IFERROR(VLOOKUP(H168,PostWorkoutTable[],3,FALSE),0)) + (G169 * IFERROR(VLOOKUP(H169,PostWorkoutTable[],3,FALSE),0)) + (G170 * IFERROR(VLOOKUP(H170,PostWorkoutTable[],3,FALSE),0)) + (G171 * IFERROR(VLOOKUP(H171,PostWorkoutTable[],3,FALSE),0))</f>
        <v>14.9</v>
      </c>
      <c r="P168" s="54">
        <f>(G168 * IFERROR(VLOOKUP(H168,PostWorkoutTable[],4,FALSE),0)) + (G169 * IFERROR(VLOOKUP(H169,PostWorkoutTable[],4,FALSE),0)) + (G170 * IFERROR(VLOOKUP(H170,PostWorkoutTable[],4,FALSE),0)) + (G171 * IFERROR(VLOOKUP(H171,PostWorkoutTable[],4,FALSE),0))</f>
        <v>50.4</v>
      </c>
    </row>
    <row r="169" spans="1:16" x14ac:dyDescent="0.25">
      <c r="A169" s="17"/>
      <c r="B169" s="17"/>
      <c r="C169" s="17">
        <v>1</v>
      </c>
      <c r="D169" s="17" t="s">
        <v>54</v>
      </c>
      <c r="E169" s="17"/>
      <c r="F169" s="17"/>
      <c r="G169" s="17"/>
      <c r="H169" s="17"/>
      <c r="I169" s="2"/>
      <c r="J169" s="2"/>
      <c r="K169" s="2"/>
      <c r="L169" s="51"/>
      <c r="M169" s="54" t="s">
        <v>21</v>
      </c>
      <c r="N169" s="54">
        <f xml:space="preserve"> SUM(I168:I171)</f>
        <v>56</v>
      </c>
      <c r="O169" s="54">
        <f>SUM(J168:J171)</f>
        <v>28</v>
      </c>
      <c r="P169" s="54">
        <f>SUM(K168:K171)</f>
        <v>56</v>
      </c>
    </row>
    <row r="170" spans="1:16" x14ac:dyDescent="0.25">
      <c r="A170" s="17"/>
      <c r="B170" s="17"/>
      <c r="C170" s="17">
        <v>1</v>
      </c>
      <c r="D170" s="17" t="s">
        <v>55</v>
      </c>
      <c r="E170" s="17"/>
      <c r="F170" s="17"/>
      <c r="G170" s="17"/>
      <c r="H170" s="17"/>
      <c r="I170" s="2"/>
      <c r="J170" s="2"/>
      <c r="K170" s="2"/>
      <c r="L170" s="51"/>
      <c r="M170" s="54" t="s">
        <v>38</v>
      </c>
      <c r="N170" s="54">
        <f>SUM(N165:N169)</f>
        <v>176.2</v>
      </c>
      <c r="O170" s="54">
        <f>SUM(O165:O169)</f>
        <v>130.9</v>
      </c>
      <c r="P170" s="54">
        <f>SUM(P165:P169)</f>
        <v>310.89999999999998</v>
      </c>
    </row>
    <row r="171" spans="1:16" x14ac:dyDescent="0.25">
      <c r="A171" s="17"/>
      <c r="B171" s="17"/>
      <c r="C171" s="17"/>
      <c r="D171" s="17"/>
      <c r="E171" s="17"/>
      <c r="F171" s="17"/>
      <c r="G171" s="17"/>
      <c r="H171" s="17"/>
      <c r="I171" s="2"/>
      <c r="J171" s="2"/>
      <c r="K171" s="2"/>
      <c r="L171" s="51"/>
      <c r="M171" s="51"/>
      <c r="N171" s="51"/>
      <c r="O171" s="51"/>
      <c r="P171" s="51"/>
    </row>
    <row r="172" spans="1:16" x14ac:dyDescent="0.25">
      <c r="A172" s="51"/>
      <c r="B172" s="51"/>
      <c r="C172" s="51"/>
      <c r="D172" s="51"/>
      <c r="E172" s="51"/>
      <c r="F172" s="51"/>
      <c r="G172" s="51"/>
      <c r="H172" s="51"/>
      <c r="I172" s="51">
        <f>SUM(I168:I171)</f>
        <v>56</v>
      </c>
      <c r="J172" s="51">
        <f>SUM(J168:J171)</f>
        <v>28</v>
      </c>
      <c r="K172" s="51">
        <f>SUM(K168:K171)</f>
        <v>56</v>
      </c>
      <c r="L172" s="51"/>
      <c r="M172" s="51"/>
      <c r="N172" s="51"/>
      <c r="O172" s="51"/>
      <c r="P172" s="51"/>
    </row>
    <row r="173" spans="1:16" ht="23.25" x14ac:dyDescent="0.35">
      <c r="A173" s="56">
        <v>43573</v>
      </c>
      <c r="B173" s="55"/>
      <c r="C173" s="55"/>
      <c r="D173" s="55"/>
      <c r="E173" s="55"/>
      <c r="F173" s="51"/>
      <c r="G173" s="51"/>
      <c r="H173" s="51"/>
      <c r="I173" s="51"/>
      <c r="J173" s="51"/>
      <c r="K173" s="51"/>
      <c r="L173" s="51"/>
      <c r="M173" s="51"/>
      <c r="N173" s="51"/>
      <c r="O173" s="51"/>
      <c r="P173" s="51"/>
    </row>
    <row r="174" spans="1:16" ht="18" thickBot="1" x14ac:dyDescent="0.35">
      <c r="A174" s="3" t="s">
        <v>48</v>
      </c>
      <c r="B174" s="3" t="s">
        <v>0</v>
      </c>
      <c r="C174" s="3" t="s">
        <v>36</v>
      </c>
      <c r="D174" s="3" t="s">
        <v>8</v>
      </c>
      <c r="E174" s="5" t="s">
        <v>9</v>
      </c>
      <c r="F174" s="5" t="s">
        <v>10</v>
      </c>
      <c r="G174" s="52"/>
      <c r="H174" s="53"/>
      <c r="I174" s="51"/>
      <c r="J174" s="51"/>
      <c r="K174" s="51"/>
      <c r="L174" s="51"/>
      <c r="M174" s="52"/>
      <c r="N174" s="54" t="s">
        <v>8</v>
      </c>
      <c r="O174" s="54" t="s">
        <v>9</v>
      </c>
      <c r="P174" s="54" t="s">
        <v>10</v>
      </c>
    </row>
    <row r="175" spans="1:16" ht="15.75" thickTop="1" x14ac:dyDescent="0.25">
      <c r="A175" s="18">
        <v>43570</v>
      </c>
      <c r="B175" s="16">
        <f>IFERROR(VLOOKUP(A175,OverviewTable[],2,FALSE),"?")</f>
        <v>132.19999999999999</v>
      </c>
      <c r="C175" s="16" t="str">
        <f>((N180 * 4) + (O180 * 9) + (P180 * 4))&amp;"/"&amp;IFERROR(VLOOKUP(A175,OverviewTable[],11,FALSE),"?")</f>
        <v>2072.2/2365.2</v>
      </c>
      <c r="D175" s="16" t="str">
        <f>N180&amp;"/"&amp;IFERROR(VLOOKUP(A175,OverviewTable[],12,FALSE),"?")</f>
        <v>76.3/132</v>
      </c>
      <c r="E175" s="16" t="str">
        <f>O180&amp;"/"&amp;IFERROR(VLOOKUP(A175,OverviewTable[],13,FALSE),"?")</f>
        <v>84.2/66</v>
      </c>
      <c r="F175" s="16" t="str">
        <f>P180&amp;"/"&amp;IFERROR(VLOOKUP(A175,OverviewTable[],14,FALSE),"?")</f>
        <v>252.3/311</v>
      </c>
      <c r="G175" s="53"/>
      <c r="H175" s="53"/>
      <c r="I175" s="51"/>
      <c r="J175" s="51"/>
      <c r="K175" s="51"/>
      <c r="L175" s="51"/>
      <c r="M175" s="54" t="s">
        <v>6</v>
      </c>
      <c r="N175" s="54">
        <f>(A178 * IFERROR(VLOOKUP(B178,BreakfastTable[],2,FALSE),0)) + (A179 * IFERROR(VLOOKUP(B179,BreakfastTable[],2,FALSE),0)) + (A180 * IFERROR(VLOOKUP(B180,BreakfastTable[],2,FALSE),0)) + (A181 * IFERROR(VLOOKUP(B181,BreakfastTable[],2,FALSE),0))</f>
        <v>20.3</v>
      </c>
      <c r="O175" s="54">
        <f>(A178 * IFERROR(VLOOKUP(B178,BreakfastTable[],3,FALSE),0)) + (A179 * IFERROR(VLOOKUP(B179,BreakfastTable[],3,FALSE),0)) + (A180 * IFERROR(VLOOKUP(B180,BreakfastTable[],3,FALSE),0)) + (A181 * IFERROR(VLOOKUP(B181,BreakfastTable[],3,FALSE),0))</f>
        <v>9.1999999999999993</v>
      </c>
      <c r="P175" s="54">
        <f>(A178 * IFERROR(VLOOKUP(B178,BreakfastTable[],4,FALSE),0)) + (A179 * IFERROR(VLOOKUP(B179,BreakfastTable[],4,FALSE),0)) + (A180 * IFERROR(VLOOKUP(B180,BreakfastTable[],4,FALSE),0)) + (A181 * IFERROR(VLOOKUP(B181,BreakfastTable[],4,FALSE),0))</f>
        <v>47.3</v>
      </c>
    </row>
    <row r="176" spans="1:16" x14ac:dyDescent="0.25">
      <c r="A176" s="17"/>
      <c r="B176" s="17"/>
      <c r="C176" s="17"/>
      <c r="D176" s="17"/>
      <c r="E176" s="17"/>
      <c r="F176" s="17"/>
      <c r="G176" s="53"/>
      <c r="H176" s="53"/>
      <c r="I176" s="51"/>
      <c r="J176" s="51"/>
      <c r="K176" s="51"/>
      <c r="L176" s="51"/>
      <c r="M176" s="54" t="s">
        <v>11</v>
      </c>
      <c r="N176" s="54">
        <f>(C178 * IFERROR(VLOOKUP(D178,LunchTable[],2,FALSE),0)) + (C179 * IFERROR(VLOOKUP(D179,LunchTable[],2,FALSE),0)) + (C180 * IFERROR(VLOOKUP(D180,LunchTable[],2,FALSE),0)) + (C181 * IFERROR(VLOOKUP(D181,LunchTable[],2,FALSE),0))</f>
        <v>0</v>
      </c>
      <c r="O176" s="54">
        <f>(C178 * IFERROR(VLOOKUP(D178,LunchTable[],3,FALSE),0)) + (C179 * IFERROR(VLOOKUP(D179,LunchTable[],3,FALSE),0)) + (C180 * IFERROR(VLOOKUP(D180,LunchTable[],3,FALSE),0)) + (C181 * IFERROR(VLOOKUP(D181,LunchTable[],3,FALSE),0))</f>
        <v>0</v>
      </c>
      <c r="P176" s="54">
        <f>(C178 * IFERROR(VLOOKUP(D178,LunchTable[],4,FALSE),0)) + (C179 * IFERROR(VLOOKUP(D179,LunchTable[],4,FALSE),0)) + (C180 * IFERROR(VLOOKUP(D180,LunchTable[],4,FALSE),0)) + (C181 * IFERROR(VLOOKUP(D181,LunchTable[],4,FALSE),0))</f>
        <v>0</v>
      </c>
    </row>
    <row r="177" spans="1:16" ht="18" thickBot="1" x14ac:dyDescent="0.35">
      <c r="A177" s="10" t="s">
        <v>34</v>
      </c>
      <c r="B177" s="11" t="s">
        <v>6</v>
      </c>
      <c r="C177" s="10" t="s">
        <v>34</v>
      </c>
      <c r="D177" s="11" t="s">
        <v>11</v>
      </c>
      <c r="E177" s="10" t="s">
        <v>34</v>
      </c>
      <c r="F177" s="11" t="s">
        <v>12</v>
      </c>
      <c r="G177" s="10" t="s">
        <v>34</v>
      </c>
      <c r="H177" s="12" t="s">
        <v>35</v>
      </c>
      <c r="I177" s="5" t="s">
        <v>41</v>
      </c>
      <c r="J177" s="5" t="s">
        <v>42</v>
      </c>
      <c r="K177" s="5" t="s">
        <v>43</v>
      </c>
      <c r="L177" s="51"/>
      <c r="M177" s="54" t="s">
        <v>12</v>
      </c>
      <c r="N177" s="54">
        <f>(E178 * IFERROR(VLOOKUP(F178,DinnerTable[],2,FALSE),0)) + (E179 * IFERROR(VLOOKUP(F179,DinnerTable[],2,FALSE),0)) + (E180 * IFERROR(VLOOKUP(F180,DinnerTable[],2,FALSE),0)) + (E181 * IFERROR(VLOOKUP(F181,DinnerTable[],2,FALSE),0))</f>
        <v>0</v>
      </c>
      <c r="O177" s="54">
        <f>(E178 * IFERROR(VLOOKUP(F178,DinnerTable[],3,FALSE),0)) + (E179 * IFERROR(VLOOKUP(F179,DinnerTable[],3,FALSE),0)) + (E180 * IFERROR(VLOOKUP(F180,DinnerTable[],3,FALSE),0)) + (E181 * IFERROR(VLOOKUP(F181,DinnerTable[],3,FALSE),0))</f>
        <v>0</v>
      </c>
      <c r="P177" s="54">
        <f>(E178 * IFERROR(VLOOKUP(F178,DinnerTable[],4,FALSE),0)) + (E179 * IFERROR(VLOOKUP(F179,DinnerTable[],4,FALSE),0)) + (E180 * IFERROR(VLOOKUP(F180,DinnerTable[],4,FALSE),0)) + (E181 * IFERROR(VLOOKUP(F181,DinnerTable[],4,FALSE),0))</f>
        <v>0</v>
      </c>
    </row>
    <row r="178" spans="1:16" ht="15.75" thickTop="1" x14ac:dyDescent="0.25">
      <c r="A178" s="17">
        <v>1</v>
      </c>
      <c r="B178" s="17" t="s">
        <v>26</v>
      </c>
      <c r="C178" s="17"/>
      <c r="D178" s="17"/>
      <c r="E178" s="17"/>
      <c r="F178" s="17"/>
      <c r="G178" s="17"/>
      <c r="H178" s="17"/>
      <c r="I178" s="2">
        <v>31</v>
      </c>
      <c r="J178" s="2">
        <v>33</v>
      </c>
      <c r="K178" s="2">
        <v>44</v>
      </c>
      <c r="L178" s="51"/>
      <c r="M178" s="54" t="s">
        <v>35</v>
      </c>
      <c r="N178" s="54">
        <f>(G178 * IFERROR(VLOOKUP(H178,PostWorkoutTable[],2,FALSE),0)) + (G179 * IFERROR(VLOOKUP(H179,PostWorkoutTable[],2,FALSE),0)) + (G180 * IFERROR(VLOOKUP(H180,PostWorkoutTable[],2,FALSE),0)) + (G181 * IFERROR(VLOOKUP(H181,PostWorkoutTable[],2,FALSE),0))</f>
        <v>0</v>
      </c>
      <c r="O178" s="54">
        <f>(G178 * IFERROR(VLOOKUP(H178,PostWorkoutTable[],3,FALSE),0)) + (G179 * IFERROR(VLOOKUP(H179,PostWorkoutTable[],3,FALSE),0)) + (G180 * IFERROR(VLOOKUP(H180,PostWorkoutTable[],3,FALSE),0)) + (G181 * IFERROR(VLOOKUP(H181,PostWorkoutTable[],3,FALSE),0))</f>
        <v>0</v>
      </c>
      <c r="P178" s="54">
        <f>(G178 * IFERROR(VLOOKUP(H178,PostWorkoutTable[],4,FALSE),0)) + (G179 * IFERROR(VLOOKUP(H179,PostWorkoutTable[],4,FALSE),0)) + (G180 * IFERROR(VLOOKUP(H180,PostWorkoutTable[],4,FALSE),0)) + (G181 * IFERROR(VLOOKUP(H181,PostWorkoutTable[],4,FALSE),0))</f>
        <v>0</v>
      </c>
    </row>
    <row r="179" spans="1:16" x14ac:dyDescent="0.25">
      <c r="A179" s="17">
        <v>1</v>
      </c>
      <c r="B179" s="17" t="s">
        <v>33</v>
      </c>
      <c r="C179" s="17"/>
      <c r="D179" s="17"/>
      <c r="E179" s="17"/>
      <c r="F179" s="17"/>
      <c r="G179" s="17"/>
      <c r="H179" s="17"/>
      <c r="I179" s="2">
        <v>4</v>
      </c>
      <c r="J179" s="2">
        <v>16</v>
      </c>
      <c r="K179" s="2">
        <v>44</v>
      </c>
      <c r="L179" s="51"/>
      <c r="M179" s="54" t="s">
        <v>21</v>
      </c>
      <c r="N179" s="54">
        <f xml:space="preserve"> SUM(I178:I181)</f>
        <v>56</v>
      </c>
      <c r="O179" s="54">
        <f>SUM(J178:J181)</f>
        <v>75</v>
      </c>
      <c r="P179" s="54">
        <f>SUM(K178:K181)</f>
        <v>205</v>
      </c>
    </row>
    <row r="180" spans="1:16" x14ac:dyDescent="0.25">
      <c r="A180" s="17"/>
      <c r="B180" s="17"/>
      <c r="C180" s="17"/>
      <c r="D180" s="17"/>
      <c r="E180" s="17"/>
      <c r="F180" s="17"/>
      <c r="G180" s="17"/>
      <c r="H180" s="17"/>
      <c r="I180" s="2">
        <v>0</v>
      </c>
      <c r="J180" s="2">
        <v>0</v>
      </c>
      <c r="K180" s="2">
        <v>54</v>
      </c>
      <c r="L180" s="51"/>
      <c r="M180" s="54" t="s">
        <v>38</v>
      </c>
      <c r="N180" s="54">
        <f>SUM(N175:N179)</f>
        <v>76.3</v>
      </c>
      <c r="O180" s="54">
        <f>SUM(O175:O179)</f>
        <v>84.2</v>
      </c>
      <c r="P180" s="54">
        <f>SUM(P175:P179)</f>
        <v>252.3</v>
      </c>
    </row>
    <row r="181" spans="1:16" x14ac:dyDescent="0.25">
      <c r="A181" s="17"/>
      <c r="B181" s="17"/>
      <c r="C181" s="17"/>
      <c r="D181" s="17"/>
      <c r="E181" s="17"/>
      <c r="F181" s="17"/>
      <c r="G181" s="17"/>
      <c r="H181" s="17"/>
      <c r="I181" s="2">
        <v>21</v>
      </c>
      <c r="J181" s="2">
        <v>26</v>
      </c>
      <c r="K181" s="2">
        <v>63</v>
      </c>
      <c r="L181" s="51"/>
      <c r="M181" s="51"/>
      <c r="N181" s="51"/>
      <c r="O181" s="51"/>
      <c r="P181" s="51"/>
    </row>
    <row r="182" spans="1:16" x14ac:dyDescent="0.25">
      <c r="A182" s="51"/>
      <c r="B182" s="51"/>
      <c r="C182" s="51"/>
      <c r="D182" s="51"/>
      <c r="E182" s="51"/>
      <c r="F182" s="51"/>
      <c r="G182" s="51"/>
      <c r="H182" s="51"/>
      <c r="I182" s="51">
        <f>SUM(I178:I181)</f>
        <v>56</v>
      </c>
      <c r="J182" s="51">
        <f>SUM(J178:J181)</f>
        <v>75</v>
      </c>
      <c r="K182" s="51">
        <f>SUM(K178:K181)</f>
        <v>205</v>
      </c>
      <c r="L182" s="51"/>
      <c r="M182" s="51"/>
      <c r="N182" s="51"/>
      <c r="O182" s="51"/>
      <c r="P182" s="51"/>
    </row>
    <row r="183" spans="1:16" ht="23.25" x14ac:dyDescent="0.35">
      <c r="A183" s="56">
        <v>43574</v>
      </c>
      <c r="B183" s="55"/>
      <c r="C183" s="55"/>
      <c r="D183" s="55"/>
      <c r="E183" s="55"/>
      <c r="F183" s="51"/>
      <c r="G183" s="51"/>
      <c r="H183" s="51"/>
      <c r="I183" s="51"/>
      <c r="J183" s="51"/>
      <c r="K183" s="51"/>
      <c r="L183" s="51"/>
      <c r="M183" s="51"/>
      <c r="N183" s="51"/>
      <c r="O183" s="51"/>
      <c r="P183" s="51"/>
    </row>
    <row r="184" spans="1:16" ht="18" thickBot="1" x14ac:dyDescent="0.35">
      <c r="A184" s="3" t="s">
        <v>48</v>
      </c>
      <c r="B184" s="3" t="s">
        <v>0</v>
      </c>
      <c r="C184" s="3" t="s">
        <v>36</v>
      </c>
      <c r="D184" s="3" t="s">
        <v>8</v>
      </c>
      <c r="E184" s="5" t="s">
        <v>9</v>
      </c>
      <c r="F184" s="5" t="s">
        <v>10</v>
      </c>
      <c r="G184" s="52"/>
      <c r="H184" s="53"/>
      <c r="I184" s="51"/>
      <c r="J184" s="51"/>
      <c r="K184" s="51"/>
      <c r="L184" s="51"/>
      <c r="M184" s="52"/>
      <c r="N184" s="54" t="s">
        <v>8</v>
      </c>
      <c r="O184" s="54" t="s">
        <v>9</v>
      </c>
      <c r="P184" s="54" t="s">
        <v>10</v>
      </c>
    </row>
    <row r="185" spans="1:16" ht="15.75" thickTop="1" x14ac:dyDescent="0.25">
      <c r="A185" s="18">
        <v>43570</v>
      </c>
      <c r="B185" s="16">
        <f>IFERROR(VLOOKUP(A185,OverviewTable[],2,FALSE),"?")</f>
        <v>132.19999999999999</v>
      </c>
      <c r="C185" s="16" t="str">
        <f>((N190 * 4) + (O190 * 9) + (P190 * 4))&amp;"/"&amp;IFERROR(VLOOKUP(A185,OverviewTable[],11,FALSE),"?")</f>
        <v>2054.1/2365.2</v>
      </c>
      <c r="D185" s="16" t="str">
        <f>N190&amp;"/"&amp;IFERROR(VLOOKUP(A185,OverviewTable[],12,FALSE),"?")</f>
        <v>95.6/132</v>
      </c>
      <c r="E185" s="16" t="str">
        <f>O190&amp;"/"&amp;IFERROR(VLOOKUP(A185,OverviewTable[],13,FALSE),"?")</f>
        <v>50.5/66</v>
      </c>
      <c r="F185" s="16" t="str">
        <f>P190&amp;"/"&amp;IFERROR(VLOOKUP(A185,OverviewTable[],14,FALSE),"?")</f>
        <v>304.3/311</v>
      </c>
      <c r="G185" s="53"/>
      <c r="H185" s="53"/>
      <c r="I185" s="51"/>
      <c r="J185" s="51"/>
      <c r="K185" s="51"/>
      <c r="L185" s="51"/>
      <c r="M185" s="54" t="s">
        <v>6</v>
      </c>
      <c r="N185" s="54">
        <f>(A188 * IFERROR(VLOOKUP(B188,BreakfastTable[],2,FALSE),0)) + (A189 * IFERROR(VLOOKUP(B189,BreakfastTable[],2,FALSE),0)) + (A190 * IFERROR(VLOOKUP(B190,BreakfastTable[],2,FALSE),0)) + (A191 * IFERROR(VLOOKUP(B191,BreakfastTable[],2,FALSE),0))</f>
        <v>0</v>
      </c>
      <c r="O185" s="54">
        <f>(A188 * IFERROR(VLOOKUP(B188,BreakfastTable[],3,FALSE),0)) + (A189 * IFERROR(VLOOKUP(B189,BreakfastTable[],3,FALSE),0)) + (A190 * IFERROR(VLOOKUP(B190,BreakfastTable[],3,FALSE),0)) + (A191 * IFERROR(VLOOKUP(B191,BreakfastTable[],3,FALSE),0))</f>
        <v>0</v>
      </c>
      <c r="P185" s="54">
        <f>(A188 * IFERROR(VLOOKUP(B188,BreakfastTable[],4,FALSE),0)) + (A189 * IFERROR(VLOOKUP(B189,BreakfastTable[],4,FALSE),0)) + (A190 * IFERROR(VLOOKUP(B190,BreakfastTable[],4,FALSE),0)) + (A191 * IFERROR(VLOOKUP(B191,BreakfastTable[],4,FALSE),0))</f>
        <v>0</v>
      </c>
    </row>
    <row r="186" spans="1:16" x14ac:dyDescent="0.25">
      <c r="A186" s="17"/>
      <c r="B186" s="17"/>
      <c r="C186" s="17"/>
      <c r="D186" s="17"/>
      <c r="E186" s="17"/>
      <c r="F186" s="17"/>
      <c r="G186" s="53"/>
      <c r="H186" s="53"/>
      <c r="I186" s="51"/>
      <c r="J186" s="51"/>
      <c r="K186" s="51"/>
      <c r="L186" s="51"/>
      <c r="M186" s="54" t="s">
        <v>11</v>
      </c>
      <c r="N186" s="54">
        <f>(C188 * IFERROR(VLOOKUP(D188,LunchTable[],2,FALSE),0)) + (C189 * IFERROR(VLOOKUP(D189,LunchTable[],2,FALSE),0)) + (C190 * IFERROR(VLOOKUP(D190,LunchTable[],2,FALSE),0)) + (C191 * IFERROR(VLOOKUP(D191,LunchTable[],2,FALSE),0))</f>
        <v>27.6</v>
      </c>
      <c r="O186" s="54">
        <f>(C188 * IFERROR(VLOOKUP(D188,LunchTable[],3,FALSE),0)) + (C189 * IFERROR(VLOOKUP(D189,LunchTable[],3,FALSE),0)) + (C190 * IFERROR(VLOOKUP(D190,LunchTable[],3,FALSE),0)) + (C191 * IFERROR(VLOOKUP(D191,LunchTable[],3,FALSE),0))</f>
        <v>35.5</v>
      </c>
      <c r="P186" s="54">
        <f>(C188 * IFERROR(VLOOKUP(D188,LunchTable[],4,FALSE),0)) + (C189 * IFERROR(VLOOKUP(D189,LunchTable[],4,FALSE),0)) + (C190 * IFERROR(VLOOKUP(D190,LunchTable[],4,FALSE),0)) + (C191 * IFERROR(VLOOKUP(D191,LunchTable[],4,FALSE),0))</f>
        <v>142.30000000000001</v>
      </c>
    </row>
    <row r="187" spans="1:16" ht="18" thickBot="1" x14ac:dyDescent="0.35">
      <c r="A187" s="10" t="s">
        <v>34</v>
      </c>
      <c r="B187" s="11" t="s">
        <v>6</v>
      </c>
      <c r="C187" s="10" t="s">
        <v>34</v>
      </c>
      <c r="D187" s="11" t="s">
        <v>11</v>
      </c>
      <c r="E187" s="10" t="s">
        <v>34</v>
      </c>
      <c r="F187" s="11" t="s">
        <v>12</v>
      </c>
      <c r="G187" s="10" t="s">
        <v>34</v>
      </c>
      <c r="H187" s="12" t="s">
        <v>35</v>
      </c>
      <c r="I187" s="5" t="s">
        <v>41</v>
      </c>
      <c r="J187" s="5" t="s">
        <v>42</v>
      </c>
      <c r="K187" s="5" t="s">
        <v>43</v>
      </c>
      <c r="L187" s="51"/>
      <c r="M187" s="54" t="s">
        <v>12</v>
      </c>
      <c r="N187" s="54">
        <f>(E188 * IFERROR(VLOOKUP(F188,DinnerTable[],2,FALSE),0)) + (E189 * IFERROR(VLOOKUP(F189,DinnerTable[],2,FALSE),0)) + (E190 * IFERROR(VLOOKUP(F190,DinnerTable[],2,FALSE),0)) + (E191 * IFERROR(VLOOKUP(F191,DinnerTable[],2,FALSE),0))</f>
        <v>0</v>
      </c>
      <c r="O187" s="54">
        <f>(E188 * IFERROR(VLOOKUP(F188,DinnerTable[],3,FALSE),0)) + (E189 * IFERROR(VLOOKUP(F189,DinnerTable[],3,FALSE),0)) + (E190 * IFERROR(VLOOKUP(F190,DinnerTable[],3,FALSE),0)) + (E191 * IFERROR(VLOOKUP(F191,DinnerTable[],3,FALSE),0))</f>
        <v>0</v>
      </c>
      <c r="P187" s="54">
        <f>(E188 * IFERROR(VLOOKUP(F188,DinnerTable[],4,FALSE),0)) + (E189 * IFERROR(VLOOKUP(F189,DinnerTable[],4,FALSE),0)) + (E190 * IFERROR(VLOOKUP(F190,DinnerTable[],4,FALSE),0)) + (E191 * IFERROR(VLOOKUP(F191,DinnerTable[],4,FALSE),0))</f>
        <v>0</v>
      </c>
    </row>
    <row r="188" spans="1:16" ht="15.75" thickTop="1" x14ac:dyDescent="0.25">
      <c r="A188" s="17"/>
      <c r="B188" s="17"/>
      <c r="C188" s="17">
        <v>4</v>
      </c>
      <c r="D188" s="17" t="s">
        <v>57</v>
      </c>
      <c r="E188" s="17"/>
      <c r="F188" s="17"/>
      <c r="G188" s="17"/>
      <c r="H188" s="17"/>
      <c r="I188" s="2">
        <v>68</v>
      </c>
      <c r="J188" s="2">
        <v>15</v>
      </c>
      <c r="K188" s="2">
        <v>162</v>
      </c>
      <c r="L188" s="51"/>
      <c r="M188" s="54" t="s">
        <v>35</v>
      </c>
      <c r="N188" s="54">
        <f>(G188 * IFERROR(VLOOKUP(H188,PostWorkoutTable[],2,FALSE),0)) + (G189 * IFERROR(VLOOKUP(H189,PostWorkoutTable[],2,FALSE),0)) + (G190 * IFERROR(VLOOKUP(H190,PostWorkoutTable[],2,FALSE),0)) + (G191 * IFERROR(VLOOKUP(H191,PostWorkoutTable[],2,FALSE),0))</f>
        <v>0</v>
      </c>
      <c r="O188" s="54">
        <f>(G188 * IFERROR(VLOOKUP(H188,PostWorkoutTable[],3,FALSE),0)) + (G189 * IFERROR(VLOOKUP(H189,PostWorkoutTable[],3,FALSE),0)) + (G190 * IFERROR(VLOOKUP(H190,PostWorkoutTable[],3,FALSE),0)) + (G191 * IFERROR(VLOOKUP(H191,PostWorkoutTable[],3,FALSE),0))</f>
        <v>0</v>
      </c>
      <c r="P188" s="54">
        <f>(G188 * IFERROR(VLOOKUP(H188,PostWorkoutTable[],4,FALSE),0)) + (G189 * IFERROR(VLOOKUP(H189,PostWorkoutTable[],4,FALSE),0)) + (G190 * IFERROR(VLOOKUP(H190,PostWorkoutTable[],4,FALSE),0)) + (G191 * IFERROR(VLOOKUP(H191,PostWorkoutTable[],4,FALSE),0))</f>
        <v>0</v>
      </c>
    </row>
    <row r="189" spans="1:16" x14ac:dyDescent="0.25">
      <c r="A189" s="17"/>
      <c r="B189" s="17"/>
      <c r="C189" s="17">
        <v>2</v>
      </c>
      <c r="D189" s="17" t="s">
        <v>94</v>
      </c>
      <c r="E189" s="17"/>
      <c r="F189" s="17"/>
      <c r="G189" s="17"/>
      <c r="H189" s="17"/>
      <c r="I189" s="2"/>
      <c r="J189" s="2"/>
      <c r="K189" s="2"/>
      <c r="L189" s="51"/>
      <c r="M189" s="54" t="s">
        <v>21</v>
      </c>
      <c r="N189" s="54">
        <f xml:space="preserve"> SUM(I188:I191)</f>
        <v>68</v>
      </c>
      <c r="O189" s="54">
        <f>SUM(J188:J191)</f>
        <v>15</v>
      </c>
      <c r="P189" s="54">
        <f>SUM(K188:K191)</f>
        <v>162</v>
      </c>
    </row>
    <row r="190" spans="1:16" x14ac:dyDescent="0.25">
      <c r="A190" s="17"/>
      <c r="B190" s="17"/>
      <c r="C190" s="17">
        <v>2</v>
      </c>
      <c r="D190" s="17" t="s">
        <v>93</v>
      </c>
      <c r="E190" s="17"/>
      <c r="F190" s="17"/>
      <c r="G190" s="17"/>
      <c r="H190" s="17"/>
      <c r="I190" s="2"/>
      <c r="J190" s="2"/>
      <c r="K190" s="2"/>
      <c r="L190" s="51"/>
      <c r="M190" s="54" t="s">
        <v>38</v>
      </c>
      <c r="N190" s="54">
        <f>SUM(N185:N189)</f>
        <v>95.6</v>
      </c>
      <c r="O190" s="54">
        <f>SUM(O185:O189)</f>
        <v>50.5</v>
      </c>
      <c r="P190" s="54">
        <f>SUM(P185:P189)</f>
        <v>304.3</v>
      </c>
    </row>
    <row r="191" spans="1:16" x14ac:dyDescent="0.25">
      <c r="A191" s="17"/>
      <c r="B191" s="17"/>
      <c r="C191" s="17">
        <v>1</v>
      </c>
      <c r="D191" s="17" t="s">
        <v>27</v>
      </c>
      <c r="E191" s="17"/>
      <c r="F191" s="17"/>
      <c r="G191" s="17"/>
      <c r="H191" s="17"/>
      <c r="I191" s="2"/>
      <c r="J191" s="2"/>
      <c r="K191" s="2"/>
      <c r="L191" s="51"/>
      <c r="M191" s="51"/>
      <c r="N191" s="51"/>
      <c r="O191" s="51"/>
      <c r="P191" s="51"/>
    </row>
    <row r="192" spans="1:16" x14ac:dyDescent="0.25">
      <c r="A192" s="51"/>
      <c r="B192" s="51"/>
      <c r="C192" s="51"/>
      <c r="D192" s="51"/>
      <c r="E192" s="51"/>
      <c r="F192" s="51"/>
      <c r="G192" s="51"/>
      <c r="H192" s="51"/>
      <c r="I192" s="51">
        <f>SUM(I188:I191)</f>
        <v>68</v>
      </c>
      <c r="J192" s="51">
        <f>SUM(J188:J191)</f>
        <v>15</v>
      </c>
      <c r="K192" s="51">
        <f>SUM(K188:K191)</f>
        <v>162</v>
      </c>
      <c r="L192" s="51"/>
      <c r="M192" s="51"/>
      <c r="N192" s="51"/>
      <c r="O192" s="51"/>
      <c r="P192" s="51"/>
    </row>
    <row r="193" spans="1:16" ht="23.25" x14ac:dyDescent="0.35">
      <c r="A193" s="56">
        <v>43575</v>
      </c>
      <c r="B193" s="55"/>
      <c r="C193" s="55"/>
      <c r="D193" s="55"/>
      <c r="E193" s="55"/>
      <c r="F193" s="51"/>
      <c r="G193" s="51"/>
      <c r="H193" s="51"/>
      <c r="I193" s="51"/>
      <c r="J193" s="51"/>
      <c r="K193" s="51"/>
      <c r="L193" s="51"/>
      <c r="M193" s="51"/>
      <c r="N193" s="51"/>
      <c r="O193" s="51"/>
      <c r="P193" s="51"/>
    </row>
    <row r="194" spans="1:16" ht="18" thickBot="1" x14ac:dyDescent="0.35">
      <c r="A194" s="3" t="s">
        <v>48</v>
      </c>
      <c r="B194" s="3" t="s">
        <v>0</v>
      </c>
      <c r="C194" s="3" t="s">
        <v>36</v>
      </c>
      <c r="D194" s="3" t="s">
        <v>8</v>
      </c>
      <c r="E194" s="5" t="s">
        <v>9</v>
      </c>
      <c r="F194" s="5" t="s">
        <v>10</v>
      </c>
      <c r="G194" s="52"/>
      <c r="H194" s="53"/>
      <c r="I194" s="51"/>
      <c r="J194" s="51"/>
      <c r="K194" s="51"/>
      <c r="L194" s="51"/>
      <c r="M194" s="52"/>
      <c r="N194" s="54" t="s">
        <v>8</v>
      </c>
      <c r="O194" s="54" t="s">
        <v>9</v>
      </c>
      <c r="P194" s="54" t="s">
        <v>10</v>
      </c>
    </row>
    <row r="195" spans="1:16" ht="15.75" thickTop="1" x14ac:dyDescent="0.25">
      <c r="A195" s="18">
        <v>43570</v>
      </c>
      <c r="B195" s="16">
        <f>IFERROR(VLOOKUP(A195,OverviewTable[],2,FALSE),"?")</f>
        <v>132.19999999999999</v>
      </c>
      <c r="C195" s="16" t="str">
        <f>((N200 * 4) + (O200 * 9) + (P200 * 4))&amp;"/"&amp;IFERROR(VLOOKUP(A195,OverviewTable[],11,FALSE),"?")</f>
        <v>2720.5/2365.2</v>
      </c>
      <c r="D195" s="16" t="str">
        <f>N200&amp;"/"&amp;IFERROR(VLOOKUP(A195,OverviewTable[],12,FALSE),"?")</f>
        <v>93/132</v>
      </c>
      <c r="E195" s="16" t="str">
        <f>O200&amp;"/"&amp;IFERROR(VLOOKUP(A195,OverviewTable[],13,FALSE),"?")</f>
        <v>119.7/66</v>
      </c>
      <c r="F195" s="16" t="str">
        <f>P200&amp;"/"&amp;IFERROR(VLOOKUP(A195,OverviewTable[],14,FALSE),"?")</f>
        <v>317.8/311</v>
      </c>
      <c r="G195" s="53"/>
      <c r="H195" s="53"/>
      <c r="I195" s="51"/>
      <c r="J195" s="51"/>
      <c r="K195" s="51"/>
      <c r="L195" s="51"/>
      <c r="M195" s="54" t="s">
        <v>6</v>
      </c>
      <c r="N195" s="54">
        <f>(A198 * IFERROR(VLOOKUP(B198,BreakfastTable[],2,FALSE),0)) + (A199 * IFERROR(VLOOKUP(B199,BreakfastTable[],2,FALSE),0)) + (A200 * IFERROR(VLOOKUP(B200,BreakfastTable[],2,FALSE),0)) + (A201 * IFERROR(VLOOKUP(B201,BreakfastTable[],2,FALSE),0))</f>
        <v>29</v>
      </c>
      <c r="O195" s="54">
        <f>(A198 * IFERROR(VLOOKUP(B198,BreakfastTable[],3,FALSE),0)) + (A199 * IFERROR(VLOOKUP(B199,BreakfastTable[],3,FALSE),0)) + (A200 * IFERROR(VLOOKUP(B200,BreakfastTable[],3,FALSE),0)) + (A201 * IFERROR(VLOOKUP(B201,BreakfastTable[],3,FALSE),0))</f>
        <v>13.5</v>
      </c>
      <c r="P195" s="54">
        <f>(A198 * IFERROR(VLOOKUP(B198,BreakfastTable[],4,FALSE),0)) + (A199 * IFERROR(VLOOKUP(B199,BreakfastTable[],4,FALSE),0)) + (A200 * IFERROR(VLOOKUP(B200,BreakfastTable[],4,FALSE),0)) + (A201 * IFERROR(VLOOKUP(B201,BreakfastTable[],4,FALSE),0))</f>
        <v>8</v>
      </c>
    </row>
    <row r="196" spans="1:16" x14ac:dyDescent="0.25">
      <c r="A196" s="17"/>
      <c r="B196" s="17"/>
      <c r="C196" s="17"/>
      <c r="D196" s="17"/>
      <c r="E196" s="17"/>
      <c r="F196" s="17"/>
      <c r="G196" s="53"/>
      <c r="H196" s="53"/>
      <c r="I196" s="51"/>
      <c r="J196" s="51"/>
      <c r="K196" s="51"/>
      <c r="L196" s="51"/>
      <c r="M196" s="54" t="s">
        <v>11</v>
      </c>
      <c r="N196" s="54">
        <f>(C198 * IFERROR(VLOOKUP(D198,LunchTable[],2,FALSE),0)) + (C199 * IFERROR(VLOOKUP(D199,LunchTable[],2,FALSE),0)) + (C200 * IFERROR(VLOOKUP(D200,LunchTable[],2,FALSE),0)) + (C201 * IFERROR(VLOOKUP(D201,LunchTable[],2,FALSE),0))</f>
        <v>0</v>
      </c>
      <c r="O196" s="54">
        <f>(C198 * IFERROR(VLOOKUP(D198,LunchTable[],3,FALSE),0)) + (C199 * IFERROR(VLOOKUP(D199,LunchTable[],3,FALSE),0)) + (C200 * IFERROR(VLOOKUP(D200,LunchTable[],3,FALSE),0)) + (C201 * IFERROR(VLOOKUP(D201,LunchTable[],3,FALSE),0))</f>
        <v>0</v>
      </c>
      <c r="P196" s="54">
        <f>(C198 * IFERROR(VLOOKUP(D198,LunchTable[],4,FALSE),0)) + (C199 * IFERROR(VLOOKUP(D199,LunchTable[],4,FALSE),0)) + (C200 * IFERROR(VLOOKUP(D200,LunchTable[],4,FALSE),0)) + (C201 * IFERROR(VLOOKUP(D201,LunchTable[],4,FALSE),0))</f>
        <v>0</v>
      </c>
    </row>
    <row r="197" spans="1:16" ht="18" thickBot="1" x14ac:dyDescent="0.35">
      <c r="A197" s="10" t="s">
        <v>34</v>
      </c>
      <c r="B197" s="11" t="s">
        <v>6</v>
      </c>
      <c r="C197" s="10" t="s">
        <v>34</v>
      </c>
      <c r="D197" s="11" t="s">
        <v>11</v>
      </c>
      <c r="E197" s="10" t="s">
        <v>34</v>
      </c>
      <c r="F197" s="11" t="s">
        <v>12</v>
      </c>
      <c r="G197" s="10" t="s">
        <v>34</v>
      </c>
      <c r="H197" s="12" t="s">
        <v>35</v>
      </c>
      <c r="I197" s="5" t="s">
        <v>41</v>
      </c>
      <c r="J197" s="5" t="s">
        <v>42</v>
      </c>
      <c r="K197" s="5" t="s">
        <v>43</v>
      </c>
      <c r="L197" s="51"/>
      <c r="M197" s="54" t="s">
        <v>12</v>
      </c>
      <c r="N197" s="54">
        <f>(E198 * IFERROR(VLOOKUP(F198,DinnerTable[],2,FALSE),0)) + (E199 * IFERROR(VLOOKUP(F199,DinnerTable[],2,FALSE),0)) + (E200 * IFERROR(VLOOKUP(F200,DinnerTable[],2,FALSE),0)) + (E201 * IFERROR(VLOOKUP(F201,DinnerTable[],2,FALSE),0))</f>
        <v>0</v>
      </c>
      <c r="O197" s="54">
        <f>(E198 * IFERROR(VLOOKUP(F198,DinnerTable[],3,FALSE),0)) + (E199 * IFERROR(VLOOKUP(F199,DinnerTable[],3,FALSE),0)) + (E200 * IFERROR(VLOOKUP(F200,DinnerTable[],3,FALSE),0)) + (E201 * IFERROR(VLOOKUP(F201,DinnerTable[],3,FALSE),0))</f>
        <v>0</v>
      </c>
      <c r="P197" s="54">
        <f>(E198 * IFERROR(VLOOKUP(F198,DinnerTable[],4,FALSE),0)) + (E199 * IFERROR(VLOOKUP(F199,DinnerTable[],4,FALSE),0)) + (E200 * IFERROR(VLOOKUP(F200,DinnerTable[],4,FALSE),0)) + (E201 * IFERROR(VLOOKUP(F201,DinnerTable[],4,FALSE),0))</f>
        <v>0</v>
      </c>
    </row>
    <row r="198" spans="1:16" ht="15.75" thickTop="1" x14ac:dyDescent="0.25">
      <c r="A198" s="17">
        <v>3</v>
      </c>
      <c r="B198" s="17" t="s">
        <v>29</v>
      </c>
      <c r="C198" s="17"/>
      <c r="D198" s="17"/>
      <c r="E198" s="17"/>
      <c r="F198" s="17"/>
      <c r="G198" s="17"/>
      <c r="H198" s="17"/>
      <c r="I198" s="2">
        <v>10.199999999999999</v>
      </c>
      <c r="J198" s="2">
        <v>36</v>
      </c>
      <c r="K198" s="2">
        <v>120</v>
      </c>
      <c r="L198" s="51"/>
      <c r="M198" s="54" t="s">
        <v>35</v>
      </c>
      <c r="N198" s="54">
        <f>(G198 * IFERROR(VLOOKUP(H198,PostWorkoutTable[],2,FALSE),0)) + (G199 * IFERROR(VLOOKUP(H199,PostWorkoutTable[],2,FALSE),0)) + (G200 * IFERROR(VLOOKUP(H200,PostWorkoutTable[],2,FALSE),0)) + (G201 * IFERROR(VLOOKUP(H201,PostWorkoutTable[],2,FALSE),0))</f>
        <v>0</v>
      </c>
      <c r="O198" s="54">
        <f>(G198 * IFERROR(VLOOKUP(H198,PostWorkoutTable[],3,FALSE),0)) + (G199 * IFERROR(VLOOKUP(H199,PostWorkoutTable[],3,FALSE),0)) + (G200 * IFERROR(VLOOKUP(H200,PostWorkoutTable[],3,FALSE),0)) + (G201 * IFERROR(VLOOKUP(H201,PostWorkoutTable[],3,FALSE),0))</f>
        <v>0</v>
      </c>
      <c r="P198" s="54">
        <f>(G198 * IFERROR(VLOOKUP(H198,PostWorkoutTable[],4,FALSE),0)) + (G199 * IFERROR(VLOOKUP(H199,PostWorkoutTable[],4,FALSE),0)) + (G200 * IFERROR(VLOOKUP(H200,PostWorkoutTable[],4,FALSE),0)) + (G201 * IFERROR(VLOOKUP(H201,PostWorkoutTable[],4,FALSE),0))</f>
        <v>0</v>
      </c>
    </row>
    <row r="199" spans="1:16" x14ac:dyDescent="0.25">
      <c r="A199" s="17">
        <v>2</v>
      </c>
      <c r="B199" s="17" t="s">
        <v>49</v>
      </c>
      <c r="C199" s="17"/>
      <c r="D199" s="17"/>
      <c r="E199" s="17"/>
      <c r="F199" s="17"/>
      <c r="G199" s="17"/>
      <c r="H199" s="17"/>
      <c r="I199" s="2">
        <v>38</v>
      </c>
      <c r="J199" s="2">
        <v>8.6</v>
      </c>
      <c r="K199" s="2">
        <v>1.8</v>
      </c>
      <c r="L199" s="51"/>
      <c r="M199" s="54" t="s">
        <v>21</v>
      </c>
      <c r="N199" s="54">
        <f xml:space="preserve"> SUM(I198:I201)</f>
        <v>64</v>
      </c>
      <c r="O199" s="54">
        <f>SUM(J198:J201)</f>
        <v>106.2</v>
      </c>
      <c r="P199" s="54">
        <f>SUM(K198:K201)</f>
        <v>309.8</v>
      </c>
    </row>
    <row r="200" spans="1:16" x14ac:dyDescent="0.25">
      <c r="A200" s="17"/>
      <c r="B200" s="17"/>
      <c r="C200" s="17"/>
      <c r="D200" s="17"/>
      <c r="E200" s="17"/>
      <c r="F200" s="17"/>
      <c r="G200" s="17"/>
      <c r="H200" s="17"/>
      <c r="I200" s="2">
        <v>8.1999999999999993</v>
      </c>
      <c r="J200" s="2">
        <v>17.600000000000001</v>
      </c>
      <c r="K200" s="2">
        <v>72</v>
      </c>
      <c r="L200" s="51"/>
      <c r="M200" s="54" t="s">
        <v>38</v>
      </c>
      <c r="N200" s="54">
        <f>SUM(N195:N199)</f>
        <v>93</v>
      </c>
      <c r="O200" s="54">
        <f>SUM(O195:O199)</f>
        <v>119.7</v>
      </c>
      <c r="P200" s="54">
        <f>SUM(P195:P199)</f>
        <v>317.8</v>
      </c>
    </row>
    <row r="201" spans="1:16" x14ac:dyDescent="0.25">
      <c r="A201" s="17"/>
      <c r="B201" s="17"/>
      <c r="C201" s="17"/>
      <c r="D201" s="17"/>
      <c r="E201" s="17"/>
      <c r="F201" s="17"/>
      <c r="G201" s="17"/>
      <c r="H201" s="17"/>
      <c r="I201" s="2">
        <v>7.6</v>
      </c>
      <c r="J201" s="2">
        <v>44</v>
      </c>
      <c r="K201" s="2">
        <v>116</v>
      </c>
      <c r="L201" s="51"/>
      <c r="M201" s="51"/>
      <c r="N201" s="51"/>
      <c r="O201" s="51"/>
      <c r="P201" s="51"/>
    </row>
    <row r="202" spans="1:16" x14ac:dyDescent="0.25">
      <c r="A202" s="51"/>
      <c r="B202" s="51"/>
      <c r="C202" s="51"/>
      <c r="D202" s="51"/>
      <c r="E202" s="51"/>
      <c r="F202" s="51"/>
      <c r="G202" s="51"/>
      <c r="H202" s="51"/>
      <c r="I202" s="51">
        <f>SUM(I198:I201)</f>
        <v>64</v>
      </c>
      <c r="J202" s="51">
        <f>SUM(J198:J201)</f>
        <v>106.2</v>
      </c>
      <c r="K202" s="51">
        <f>SUM(K198:K201)</f>
        <v>309.8</v>
      </c>
      <c r="L202" s="51"/>
      <c r="M202" s="51"/>
      <c r="N202" s="51"/>
      <c r="O202" s="51"/>
      <c r="P202" s="51"/>
    </row>
    <row r="203" spans="1:16" ht="23.25" x14ac:dyDescent="0.35">
      <c r="A203" s="56">
        <v>43576</v>
      </c>
      <c r="B203" s="55"/>
      <c r="C203" s="55"/>
      <c r="D203" s="55"/>
      <c r="E203" s="55"/>
      <c r="F203" s="51"/>
      <c r="G203" s="51"/>
      <c r="H203" s="51"/>
      <c r="I203" s="51"/>
      <c r="J203" s="51"/>
      <c r="K203" s="51"/>
      <c r="L203" s="51"/>
      <c r="M203" s="51"/>
      <c r="N203" s="51"/>
      <c r="O203" s="51"/>
      <c r="P203" s="51"/>
    </row>
    <row r="204" spans="1:16" ht="18" thickBot="1" x14ac:dyDescent="0.35">
      <c r="A204" s="3" t="s">
        <v>48</v>
      </c>
      <c r="B204" s="3" t="s">
        <v>0</v>
      </c>
      <c r="C204" s="3" t="s">
        <v>36</v>
      </c>
      <c r="D204" s="3" t="s">
        <v>8</v>
      </c>
      <c r="E204" s="5" t="s">
        <v>9</v>
      </c>
      <c r="F204" s="5" t="s">
        <v>10</v>
      </c>
      <c r="G204" s="52"/>
      <c r="H204" s="53"/>
      <c r="I204" s="51"/>
      <c r="J204" s="51"/>
      <c r="K204" s="51"/>
      <c r="L204" s="51"/>
      <c r="M204" s="52"/>
      <c r="N204" s="54" t="s">
        <v>8</v>
      </c>
      <c r="O204" s="54" t="s">
        <v>9</v>
      </c>
      <c r="P204" s="54" t="s">
        <v>10</v>
      </c>
    </row>
    <row r="205" spans="1:16" ht="15.75" thickTop="1" x14ac:dyDescent="0.25">
      <c r="A205" s="18">
        <v>43570</v>
      </c>
      <c r="B205" s="16">
        <f>IFERROR(VLOOKUP(A205,OverviewTable[],2,FALSE),"?")</f>
        <v>132.19999999999999</v>
      </c>
      <c r="C205" s="16" t="str">
        <f>((N210 * 4) + (O210 * 9) + (P210 * 4))&amp;"/"&amp;IFERROR(VLOOKUP(A205,OverviewTable[],11,FALSE),"?")</f>
        <v>1853.75/2365.2</v>
      </c>
      <c r="D205" s="16" t="str">
        <f>N210&amp;"/"&amp;IFERROR(VLOOKUP(A205,OverviewTable[],12,FALSE),"?")</f>
        <v>82/132</v>
      </c>
      <c r="E205" s="16" t="str">
        <f>O210&amp;"/"&amp;IFERROR(VLOOKUP(A205,OverviewTable[],13,FALSE),"?")</f>
        <v>71.75/66</v>
      </c>
      <c r="F205" s="16" t="str">
        <f>P210&amp;"/"&amp;IFERROR(VLOOKUP(A205,OverviewTable[],14,FALSE),"?")</f>
        <v>220/311</v>
      </c>
      <c r="G205" s="53"/>
      <c r="H205" s="53"/>
      <c r="I205" s="51"/>
      <c r="J205" s="51"/>
      <c r="K205" s="51"/>
      <c r="L205" s="51"/>
      <c r="M205" s="54" t="s">
        <v>6</v>
      </c>
      <c r="N205" s="54">
        <f>(A208 * IFERROR(VLOOKUP(B208,BreakfastTable[],2,FALSE),0)) + (A209 * IFERROR(VLOOKUP(B209,BreakfastTable[],2,FALSE),0)) + (A210 * IFERROR(VLOOKUP(B210,BreakfastTable[],2,FALSE),0)) + (A211 * IFERROR(VLOOKUP(B211,BreakfastTable[],2,FALSE),0))</f>
        <v>29</v>
      </c>
      <c r="O205" s="54">
        <f>(A208 * IFERROR(VLOOKUP(B208,BreakfastTable[],3,FALSE),0)) + (A209 * IFERROR(VLOOKUP(B209,BreakfastTable[],3,FALSE),0)) + (A210 * IFERROR(VLOOKUP(B210,BreakfastTable[],3,FALSE),0)) + (A211 * IFERROR(VLOOKUP(B211,BreakfastTable[],3,FALSE),0))</f>
        <v>13.5</v>
      </c>
      <c r="P205" s="54">
        <f>(A208 * IFERROR(VLOOKUP(B208,BreakfastTable[],4,FALSE),0)) + (A209 * IFERROR(VLOOKUP(B209,BreakfastTable[],4,FALSE),0)) + (A210 * IFERROR(VLOOKUP(B210,BreakfastTable[],4,FALSE),0)) + (A211 * IFERROR(VLOOKUP(B211,BreakfastTable[],4,FALSE),0))</f>
        <v>8</v>
      </c>
    </row>
    <row r="206" spans="1:16" x14ac:dyDescent="0.25">
      <c r="A206" s="17"/>
      <c r="B206" s="17"/>
      <c r="C206" s="17"/>
      <c r="D206" s="17"/>
      <c r="E206" s="17"/>
      <c r="F206" s="17"/>
      <c r="G206" s="53"/>
      <c r="H206" s="53"/>
      <c r="I206" s="51"/>
      <c r="J206" s="51"/>
      <c r="K206" s="51"/>
      <c r="L206" s="51"/>
      <c r="M206" s="54" t="s">
        <v>11</v>
      </c>
      <c r="N206" s="54">
        <f>(C208 * IFERROR(VLOOKUP(D208,LunchTable[],2,FALSE),0)) + (C209 * IFERROR(VLOOKUP(D209,LunchTable[],2,FALSE),0)) + (C210 * IFERROR(VLOOKUP(D210,LunchTable[],2,FALSE),0)) + (C211 * IFERROR(VLOOKUP(D211,LunchTable[],2,FALSE),0))</f>
        <v>15</v>
      </c>
      <c r="O206" s="54">
        <f>(C208 * IFERROR(VLOOKUP(D208,LunchTable[],3,FALSE),0)) + (C209 * IFERROR(VLOOKUP(D209,LunchTable[],3,FALSE),0)) + (C210 * IFERROR(VLOOKUP(D210,LunchTable[],3,FALSE),0)) + (C211 * IFERROR(VLOOKUP(D211,LunchTable[],3,FALSE),0))</f>
        <v>3.75</v>
      </c>
      <c r="P206" s="54">
        <f>(C208 * IFERROR(VLOOKUP(D208,LunchTable[],4,FALSE),0)) + (C209 * IFERROR(VLOOKUP(D209,LunchTable[],4,FALSE),0)) + (C210 * IFERROR(VLOOKUP(D210,LunchTable[],4,FALSE),0)) + (C211 * IFERROR(VLOOKUP(D211,LunchTable[],4,FALSE),0))</f>
        <v>57.5</v>
      </c>
    </row>
    <row r="207" spans="1:16" ht="18" thickBot="1" x14ac:dyDescent="0.35">
      <c r="A207" s="10" t="s">
        <v>34</v>
      </c>
      <c r="B207" s="11" t="s">
        <v>6</v>
      </c>
      <c r="C207" s="10" t="s">
        <v>34</v>
      </c>
      <c r="D207" s="11" t="s">
        <v>11</v>
      </c>
      <c r="E207" s="10" t="s">
        <v>34</v>
      </c>
      <c r="F207" s="11" t="s">
        <v>12</v>
      </c>
      <c r="G207" s="10" t="s">
        <v>34</v>
      </c>
      <c r="H207" s="12" t="s">
        <v>35</v>
      </c>
      <c r="I207" s="5" t="s">
        <v>41</v>
      </c>
      <c r="J207" s="5" t="s">
        <v>42</v>
      </c>
      <c r="K207" s="5" t="s">
        <v>43</v>
      </c>
      <c r="L207" s="51"/>
      <c r="M207" s="54" t="s">
        <v>12</v>
      </c>
      <c r="N207" s="54">
        <f>(E208 * IFERROR(VLOOKUP(F208,DinnerTable[],2,FALSE),0)) + (E209 * IFERROR(VLOOKUP(F209,DinnerTable[],2,FALSE),0)) + (E210 * IFERROR(VLOOKUP(F210,DinnerTable[],2,FALSE),0)) + (E211 * IFERROR(VLOOKUP(F211,DinnerTable[],2,FALSE),0))</f>
        <v>0</v>
      </c>
      <c r="O207" s="54">
        <f>(E208 * IFERROR(VLOOKUP(F208,DinnerTable[],3,FALSE),0)) + (E209 * IFERROR(VLOOKUP(F209,DinnerTable[],3,FALSE),0)) + (E210 * IFERROR(VLOOKUP(F210,DinnerTable[],3,FALSE),0)) + (E211 * IFERROR(VLOOKUP(F211,DinnerTable[],3,FALSE),0))</f>
        <v>0</v>
      </c>
      <c r="P207" s="54">
        <f>(E208 * IFERROR(VLOOKUP(F208,DinnerTable[],4,FALSE),0)) + (E209 * IFERROR(VLOOKUP(F209,DinnerTable[],4,FALSE),0)) + (E210 * IFERROR(VLOOKUP(F210,DinnerTable[],4,FALSE),0)) + (E211 * IFERROR(VLOOKUP(F211,DinnerTable[],4,FALSE),0))</f>
        <v>0</v>
      </c>
    </row>
    <row r="208" spans="1:16" ht="15.75" thickTop="1" x14ac:dyDescent="0.25">
      <c r="A208" s="17">
        <v>3</v>
      </c>
      <c r="B208" s="17" t="s">
        <v>29</v>
      </c>
      <c r="C208" s="17">
        <v>5</v>
      </c>
      <c r="D208" s="17" t="s">
        <v>57</v>
      </c>
      <c r="E208" s="17"/>
      <c r="F208" s="17"/>
      <c r="G208" s="17"/>
      <c r="H208" s="17"/>
      <c r="I208" s="2">
        <v>3</v>
      </c>
      <c r="J208" s="2">
        <v>5.5</v>
      </c>
      <c r="K208" s="2">
        <v>12.5</v>
      </c>
      <c r="L208" s="51"/>
      <c r="M208" s="54" t="s">
        <v>35</v>
      </c>
      <c r="N208" s="54">
        <f>(G208 * IFERROR(VLOOKUP(H208,PostWorkoutTable[],2,FALSE),0)) + (G209 * IFERROR(VLOOKUP(H209,PostWorkoutTable[],2,FALSE),0)) + (G210 * IFERROR(VLOOKUP(H210,PostWorkoutTable[],2,FALSE),0)) + (G211 * IFERROR(VLOOKUP(H211,PostWorkoutTable[],2,FALSE),0))</f>
        <v>0</v>
      </c>
      <c r="O208" s="54">
        <f>(G208 * IFERROR(VLOOKUP(H208,PostWorkoutTable[],3,FALSE),0)) + (G209 * IFERROR(VLOOKUP(H209,PostWorkoutTable[],3,FALSE),0)) + (G210 * IFERROR(VLOOKUP(H210,PostWorkoutTable[],3,FALSE),0)) + (G211 * IFERROR(VLOOKUP(H211,PostWorkoutTable[],3,FALSE),0))</f>
        <v>0</v>
      </c>
      <c r="P208" s="54">
        <f>(G208 * IFERROR(VLOOKUP(H208,PostWorkoutTable[],4,FALSE),0)) + (G209 * IFERROR(VLOOKUP(H209,PostWorkoutTable[],4,FALSE),0)) + (G210 * IFERROR(VLOOKUP(H210,PostWorkoutTable[],4,FALSE),0)) + (G211 * IFERROR(VLOOKUP(H211,PostWorkoutTable[],4,FALSE),0))</f>
        <v>0</v>
      </c>
    </row>
    <row r="209" spans="1:16" x14ac:dyDescent="0.25">
      <c r="A209" s="17">
        <v>2</v>
      </c>
      <c r="B209" s="17" t="s">
        <v>49</v>
      </c>
      <c r="C209" s="17"/>
      <c r="D209" s="17"/>
      <c r="E209" s="17"/>
      <c r="F209" s="17"/>
      <c r="G209" s="17"/>
      <c r="H209" s="17"/>
      <c r="I209" s="2">
        <v>31</v>
      </c>
      <c r="J209" s="2">
        <v>33</v>
      </c>
      <c r="K209" s="2">
        <v>44</v>
      </c>
      <c r="L209" s="51"/>
      <c r="M209" s="54" t="s">
        <v>21</v>
      </c>
      <c r="N209" s="54">
        <f xml:space="preserve"> SUM(I208:I211)</f>
        <v>38</v>
      </c>
      <c r="O209" s="54">
        <f>SUM(J208:J211)</f>
        <v>54.5</v>
      </c>
      <c r="P209" s="54">
        <f>SUM(K208:K211)</f>
        <v>154.5</v>
      </c>
    </row>
    <row r="210" spans="1:16" x14ac:dyDescent="0.25">
      <c r="A210" s="17"/>
      <c r="B210" s="17"/>
      <c r="C210" s="17"/>
      <c r="D210" s="17"/>
      <c r="E210" s="17"/>
      <c r="F210" s="17"/>
      <c r="G210" s="17"/>
      <c r="H210" s="17"/>
      <c r="I210" s="2">
        <v>4</v>
      </c>
      <c r="J210" s="2">
        <v>16</v>
      </c>
      <c r="K210" s="2">
        <v>44</v>
      </c>
      <c r="L210" s="51"/>
      <c r="M210" s="54" t="s">
        <v>38</v>
      </c>
      <c r="N210" s="54">
        <f>SUM(N205:N209)</f>
        <v>82</v>
      </c>
      <c r="O210" s="54">
        <f>SUM(O205:O209)</f>
        <v>71.75</v>
      </c>
      <c r="P210" s="54">
        <f>SUM(P205:P209)</f>
        <v>220</v>
      </c>
    </row>
    <row r="211" spans="1:16" x14ac:dyDescent="0.25">
      <c r="A211" s="17"/>
      <c r="B211" s="17"/>
      <c r="C211" s="17"/>
      <c r="D211" s="17"/>
      <c r="E211" s="17"/>
      <c r="F211" s="17"/>
      <c r="G211" s="17"/>
      <c r="H211" s="17"/>
      <c r="I211" s="2">
        <v>0</v>
      </c>
      <c r="J211" s="2">
        <v>0</v>
      </c>
      <c r="K211" s="2">
        <v>54</v>
      </c>
      <c r="L211" s="51"/>
      <c r="M211" s="51"/>
      <c r="N211" s="51"/>
      <c r="O211" s="51"/>
      <c r="P211" s="51"/>
    </row>
    <row r="212" spans="1:16" x14ac:dyDescent="0.25">
      <c r="A212" s="51"/>
      <c r="B212" s="51"/>
      <c r="C212" s="51"/>
      <c r="D212" s="51"/>
      <c r="E212" s="51"/>
      <c r="F212" s="51"/>
      <c r="G212" s="51"/>
      <c r="H212" s="51"/>
      <c r="I212" s="51">
        <f>SUM(I208:I211)</f>
        <v>38</v>
      </c>
      <c r="J212" s="51">
        <f>SUM(J208:J211)</f>
        <v>54.5</v>
      </c>
      <c r="K212" s="51">
        <f>SUM(K208:K211)</f>
        <v>154.5</v>
      </c>
      <c r="L212" s="51"/>
      <c r="M212" s="51"/>
      <c r="N212" s="51"/>
      <c r="O212" s="51"/>
      <c r="P212" s="51"/>
    </row>
    <row r="213" spans="1:16" ht="23.25" x14ac:dyDescent="0.35">
      <c r="A213" s="56">
        <v>43577</v>
      </c>
      <c r="B213" s="55"/>
      <c r="C213" s="55"/>
      <c r="D213" s="55"/>
      <c r="E213" s="55"/>
      <c r="F213" s="51"/>
      <c r="G213" s="51"/>
      <c r="H213" s="51"/>
      <c r="I213" s="51"/>
      <c r="J213" s="51"/>
      <c r="K213" s="51"/>
      <c r="L213" s="51"/>
      <c r="M213" s="51"/>
      <c r="N213" s="51"/>
      <c r="O213" s="51"/>
      <c r="P213" s="51"/>
    </row>
    <row r="214" spans="1:16" ht="18" thickBot="1" x14ac:dyDescent="0.35">
      <c r="A214" s="3" t="s">
        <v>48</v>
      </c>
      <c r="B214" s="3" t="s">
        <v>0</v>
      </c>
      <c r="C214" s="3" t="s">
        <v>36</v>
      </c>
      <c r="D214" s="3" t="s">
        <v>8</v>
      </c>
      <c r="E214" s="5" t="s">
        <v>9</v>
      </c>
      <c r="F214" s="5" t="s">
        <v>10</v>
      </c>
      <c r="G214" s="52"/>
      <c r="H214" s="53"/>
      <c r="I214" s="51"/>
      <c r="J214" s="51"/>
      <c r="K214" s="51"/>
      <c r="L214" s="51"/>
      <c r="M214" s="52"/>
      <c r="N214" s="54" t="s">
        <v>8</v>
      </c>
      <c r="O214" s="54" t="s">
        <v>9</v>
      </c>
      <c r="P214" s="54" t="s">
        <v>10</v>
      </c>
    </row>
    <row r="215" spans="1:16" ht="15.75" thickTop="1" x14ac:dyDescent="0.25">
      <c r="A215" s="18">
        <v>43577</v>
      </c>
      <c r="B215" s="16">
        <f>IFERROR(VLOOKUP(A215,OverviewTable[],2,FALSE),"?")</f>
        <v>132.19999999999999</v>
      </c>
      <c r="C215" s="16" t="str">
        <f>((N220 * 4) + (O220 * 9) + (P220 * 4))&amp;"/"&amp;IFERROR(VLOOKUP(A215,OverviewTable[],11,FALSE),"?")</f>
        <v>2807.6/2365.2</v>
      </c>
      <c r="D215" s="16" t="str">
        <f>N220&amp;"/"&amp;IFERROR(VLOOKUP(A215,OverviewTable[],12,FALSE),"?")</f>
        <v>145.2/132</v>
      </c>
      <c r="E215" s="16" t="str">
        <f>O220&amp;"/"&amp;IFERROR(VLOOKUP(A215,OverviewTable[],13,FALSE),"?")</f>
        <v>142/66</v>
      </c>
      <c r="F215" s="16" t="str">
        <f>P220&amp;"/"&amp;IFERROR(VLOOKUP(A215,OverviewTable[],14,FALSE),"?")</f>
        <v>237.2/311</v>
      </c>
      <c r="G215" s="53"/>
      <c r="H215" s="53"/>
      <c r="I215" s="51"/>
      <c r="J215" s="51"/>
      <c r="K215" s="51"/>
      <c r="L215" s="51"/>
      <c r="M215" s="54" t="s">
        <v>6</v>
      </c>
      <c r="N215" s="54">
        <f>(A218 * IFERROR(VLOOKUP(B218,BreakfastTable[],2,FALSE),0)) + (A219 * IFERROR(VLOOKUP(B219,BreakfastTable[],2,FALSE),0)) + (A220 * IFERROR(VLOOKUP(B220,BreakfastTable[],2,FALSE),0)) + (A221 * IFERROR(VLOOKUP(B221,BreakfastTable[],2,FALSE),0))</f>
        <v>0</v>
      </c>
      <c r="O215" s="54">
        <f>(A218 * IFERROR(VLOOKUP(B218,BreakfastTable[],3,FALSE),0)) + (A219 * IFERROR(VLOOKUP(B219,BreakfastTable[],3,FALSE),0)) + (A220 * IFERROR(VLOOKUP(B220,BreakfastTable[],3,FALSE),0)) + (A221 * IFERROR(VLOOKUP(B221,BreakfastTable[],3,FALSE),0))</f>
        <v>0</v>
      </c>
      <c r="P215" s="54">
        <f>(A218 * IFERROR(VLOOKUP(B218,BreakfastTable[],4,FALSE),0)) + (A219 * IFERROR(VLOOKUP(B219,BreakfastTable[],4,FALSE),0)) + (A220 * IFERROR(VLOOKUP(B220,BreakfastTable[],4,FALSE),0)) + (A221 * IFERROR(VLOOKUP(B221,BreakfastTable[],4,FALSE),0))</f>
        <v>0</v>
      </c>
    </row>
    <row r="216" spans="1:16" x14ac:dyDescent="0.25">
      <c r="A216" s="17"/>
      <c r="B216" s="17"/>
      <c r="C216" s="17"/>
      <c r="D216" s="17"/>
      <c r="E216" s="17"/>
      <c r="F216" s="17"/>
      <c r="G216" s="53"/>
      <c r="H216" s="53"/>
      <c r="I216" s="51"/>
      <c r="J216" s="51"/>
      <c r="K216" s="51"/>
      <c r="L216" s="51"/>
      <c r="M216" s="54" t="s">
        <v>11</v>
      </c>
      <c r="N216" s="54">
        <f>(C218 * IFERROR(VLOOKUP(D218,LunchTable[],2,FALSE),0)) + (C219 * IFERROR(VLOOKUP(D219,LunchTable[],2,FALSE),0)) + (C220 * IFERROR(VLOOKUP(D220,LunchTable[],2,FALSE),0)) + (C221 * IFERROR(VLOOKUP(D221,LunchTable[],2,FALSE),0))</f>
        <v>0</v>
      </c>
      <c r="O216" s="54">
        <f>(C218 * IFERROR(VLOOKUP(D218,LunchTable[],3,FALSE),0)) + (C219 * IFERROR(VLOOKUP(D219,LunchTable[],3,FALSE),0)) + (C220 * IFERROR(VLOOKUP(D220,LunchTable[],3,FALSE),0)) + (C221 * IFERROR(VLOOKUP(D221,LunchTable[],3,FALSE),0))</f>
        <v>0</v>
      </c>
      <c r="P216" s="54">
        <f>(C218 * IFERROR(VLOOKUP(D218,LunchTable[],4,FALSE),0)) + (C219 * IFERROR(VLOOKUP(D219,LunchTable[],4,FALSE),0)) + (C220 * IFERROR(VLOOKUP(D220,LunchTable[],4,FALSE),0)) + (C221 * IFERROR(VLOOKUP(D221,LunchTable[],4,FALSE),0))</f>
        <v>0</v>
      </c>
    </row>
    <row r="217" spans="1:16" ht="18" thickBot="1" x14ac:dyDescent="0.35">
      <c r="A217" s="10" t="s">
        <v>34</v>
      </c>
      <c r="B217" s="11" t="s">
        <v>6</v>
      </c>
      <c r="C217" s="10" t="s">
        <v>34</v>
      </c>
      <c r="D217" s="11" t="s">
        <v>11</v>
      </c>
      <c r="E217" s="10" t="s">
        <v>34</v>
      </c>
      <c r="F217" s="11" t="s">
        <v>12</v>
      </c>
      <c r="G217" s="10" t="s">
        <v>34</v>
      </c>
      <c r="H217" s="12" t="s">
        <v>35</v>
      </c>
      <c r="I217" s="5" t="s">
        <v>41</v>
      </c>
      <c r="J217" s="5" t="s">
        <v>42</v>
      </c>
      <c r="K217" s="5" t="s">
        <v>43</v>
      </c>
      <c r="L217" s="51"/>
      <c r="M217" s="54" t="s">
        <v>12</v>
      </c>
      <c r="N217" s="54">
        <f>(E218 * IFERROR(VLOOKUP(F218,DinnerTable[],2,FALSE),0)) + (E219 * IFERROR(VLOOKUP(F219,DinnerTable[],2,FALSE),0)) + (E220 * IFERROR(VLOOKUP(F220,DinnerTable[],2,FALSE),0)) + (E221 * IFERROR(VLOOKUP(F221,DinnerTable[],2,FALSE),0))</f>
        <v>67</v>
      </c>
      <c r="O217" s="54">
        <f>(E218 * IFERROR(VLOOKUP(F218,DinnerTable[],3,FALSE),0)) + (E219 * IFERROR(VLOOKUP(F219,DinnerTable[],3,FALSE),0)) + (E220 * IFERROR(VLOOKUP(F220,DinnerTable[],3,FALSE),0)) + (E221 * IFERROR(VLOOKUP(F221,DinnerTable[],3,FALSE),0))</f>
        <v>43</v>
      </c>
      <c r="P217" s="54">
        <f>(E218 * IFERROR(VLOOKUP(F218,DinnerTable[],4,FALSE),0)) + (E219 * IFERROR(VLOOKUP(F219,DinnerTable[],4,FALSE),0)) + (E220 * IFERROR(VLOOKUP(F220,DinnerTable[],4,FALSE),0)) + (E221 * IFERROR(VLOOKUP(F221,DinnerTable[],4,FALSE),0))</f>
        <v>126</v>
      </c>
    </row>
    <row r="218" spans="1:16" ht="15.75" thickTop="1" x14ac:dyDescent="0.25">
      <c r="A218" s="17"/>
      <c r="B218" s="17"/>
      <c r="C218" s="17"/>
      <c r="D218" s="17"/>
      <c r="E218" s="17">
        <v>2</v>
      </c>
      <c r="F218" s="17" t="s">
        <v>66</v>
      </c>
      <c r="G218" s="17">
        <v>1</v>
      </c>
      <c r="H218" s="17" t="s">
        <v>105</v>
      </c>
      <c r="I218" s="2">
        <v>17.2</v>
      </c>
      <c r="J218" s="2">
        <v>52</v>
      </c>
      <c r="K218" s="2">
        <v>37.200000000000003</v>
      </c>
      <c r="L218" s="51"/>
      <c r="M218" s="54" t="s">
        <v>35</v>
      </c>
      <c r="N218" s="54">
        <f>(G218 * IFERROR(VLOOKUP(H218,PostWorkoutTable[],2,FALSE),0)) + (G219 * IFERROR(VLOOKUP(H219,PostWorkoutTable[],2,FALSE),0)) + (G220 * IFERROR(VLOOKUP(H220,PostWorkoutTable[],2,FALSE),0)) + (G221 * IFERROR(VLOOKUP(H221,PostWorkoutTable[],2,FALSE),0))</f>
        <v>20</v>
      </c>
      <c r="O218" s="54">
        <f>(G218 * IFERROR(VLOOKUP(H218,PostWorkoutTable[],3,FALSE),0)) + (G219 * IFERROR(VLOOKUP(H219,PostWorkoutTable[],3,FALSE),0)) + (G220 * IFERROR(VLOOKUP(H220,PostWorkoutTable[],3,FALSE),0)) + (G221 * IFERROR(VLOOKUP(H221,PostWorkoutTable[],3,FALSE),0))</f>
        <v>10</v>
      </c>
      <c r="P218" s="54">
        <f>(G218 * IFERROR(VLOOKUP(H218,PostWorkoutTable[],4,FALSE),0)) + (G219 * IFERROR(VLOOKUP(H219,PostWorkoutTable[],4,FALSE),0)) + (G220 * IFERROR(VLOOKUP(H220,PostWorkoutTable[],4,FALSE),0)) + (G221 * IFERROR(VLOOKUP(H221,PostWorkoutTable[],4,FALSE),0))</f>
        <v>21</v>
      </c>
    </row>
    <row r="219" spans="1:16" x14ac:dyDescent="0.25">
      <c r="A219" s="17"/>
      <c r="B219" s="17"/>
      <c r="C219" s="17"/>
      <c r="D219" s="17"/>
      <c r="E219" s="17">
        <v>1</v>
      </c>
      <c r="F219" s="17" t="s">
        <v>50</v>
      </c>
      <c r="G219" s="17"/>
      <c r="H219" s="17"/>
      <c r="I219" s="2">
        <v>41</v>
      </c>
      <c r="J219" s="2">
        <v>37</v>
      </c>
      <c r="K219" s="2">
        <v>53</v>
      </c>
      <c r="L219" s="51"/>
      <c r="M219" s="54" t="s">
        <v>21</v>
      </c>
      <c r="N219" s="54">
        <f xml:space="preserve"> SUM(I218:I221)</f>
        <v>58.2</v>
      </c>
      <c r="O219" s="54">
        <f>SUM(J218:J221)</f>
        <v>89</v>
      </c>
      <c r="P219" s="54">
        <f>SUM(K218:K221)</f>
        <v>90.2</v>
      </c>
    </row>
    <row r="220" spans="1:16" x14ac:dyDescent="0.25">
      <c r="A220" s="17"/>
      <c r="B220" s="17"/>
      <c r="C220" s="17"/>
      <c r="D220" s="17"/>
      <c r="E220" s="17">
        <v>2</v>
      </c>
      <c r="F220" s="17" t="s">
        <v>65</v>
      </c>
      <c r="G220" s="17"/>
      <c r="H220" s="17"/>
      <c r="I220" s="2"/>
      <c r="J220" s="2"/>
      <c r="K220" s="2"/>
      <c r="L220" s="51"/>
      <c r="M220" s="54" t="s">
        <v>38</v>
      </c>
      <c r="N220" s="54">
        <f>SUM(N215:N219)</f>
        <v>145.19999999999999</v>
      </c>
      <c r="O220" s="54">
        <f>SUM(O215:O219)</f>
        <v>142</v>
      </c>
      <c r="P220" s="54">
        <f>SUM(P215:P219)</f>
        <v>237.2</v>
      </c>
    </row>
    <row r="221" spans="1:16" x14ac:dyDescent="0.25">
      <c r="A221" s="17"/>
      <c r="B221" s="17"/>
      <c r="C221" s="17"/>
      <c r="D221" s="17"/>
      <c r="E221" s="17">
        <v>0.5</v>
      </c>
      <c r="F221" s="17" t="s">
        <v>79</v>
      </c>
      <c r="G221" s="17"/>
      <c r="H221" s="17"/>
      <c r="I221" s="2"/>
      <c r="J221" s="2"/>
      <c r="K221" s="2"/>
      <c r="L221" s="51"/>
      <c r="M221" s="51"/>
      <c r="N221" s="51"/>
      <c r="O221" s="51"/>
      <c r="P221" s="51"/>
    </row>
    <row r="222" spans="1:16" x14ac:dyDescent="0.25">
      <c r="A222" s="51"/>
      <c r="B222" s="51"/>
      <c r="C222" s="51"/>
      <c r="D222" s="51"/>
      <c r="E222" s="51"/>
      <c r="F222" s="51"/>
      <c r="G222" s="51"/>
      <c r="H222" s="51"/>
      <c r="I222" s="51">
        <f>SUM(I218:I221)</f>
        <v>58.2</v>
      </c>
      <c r="J222" s="51">
        <f>SUM(J218:J221)</f>
        <v>89</v>
      </c>
      <c r="K222" s="51">
        <f>SUM(K218:K221)</f>
        <v>90.2</v>
      </c>
      <c r="L222" s="51"/>
      <c r="M222" s="51"/>
      <c r="N222" s="51"/>
      <c r="O222" s="51"/>
      <c r="P222" s="51"/>
    </row>
    <row r="223" spans="1:16" ht="23.25" x14ac:dyDescent="0.35">
      <c r="A223" s="56">
        <v>43578</v>
      </c>
      <c r="B223" s="55"/>
      <c r="C223" s="55"/>
      <c r="D223" s="55"/>
      <c r="E223" s="55"/>
      <c r="F223" s="51"/>
      <c r="G223" s="51"/>
      <c r="H223" s="51"/>
      <c r="I223" s="51"/>
      <c r="J223" s="51"/>
      <c r="K223" s="51"/>
      <c r="L223" s="51"/>
      <c r="M223" s="51"/>
      <c r="N223" s="51"/>
      <c r="O223" s="51"/>
      <c r="P223" s="51"/>
    </row>
    <row r="224" spans="1:16" ht="18" thickBot="1" x14ac:dyDescent="0.35">
      <c r="A224" s="3" t="s">
        <v>48</v>
      </c>
      <c r="B224" s="3" t="s">
        <v>0</v>
      </c>
      <c r="C224" s="3" t="s">
        <v>36</v>
      </c>
      <c r="D224" s="3" t="s">
        <v>8</v>
      </c>
      <c r="E224" s="5" t="s">
        <v>9</v>
      </c>
      <c r="F224" s="5" t="s">
        <v>10</v>
      </c>
      <c r="G224" s="52"/>
      <c r="H224" s="53"/>
      <c r="I224" s="51"/>
      <c r="J224" s="51"/>
      <c r="K224" s="51"/>
      <c r="L224" s="51"/>
      <c r="M224" s="52"/>
      <c r="N224" s="54" t="s">
        <v>8</v>
      </c>
      <c r="O224" s="54" t="s">
        <v>9</v>
      </c>
      <c r="P224" s="54" t="s">
        <v>10</v>
      </c>
    </row>
    <row r="225" spans="1:16" ht="15.75" thickTop="1" x14ac:dyDescent="0.25">
      <c r="A225" s="18">
        <v>43577</v>
      </c>
      <c r="B225" s="16">
        <f>IFERROR(VLOOKUP(A225,OverviewTable[],2,FALSE),"?")</f>
        <v>132.19999999999999</v>
      </c>
      <c r="C225" s="16" t="str">
        <f>((N230 * 4) + (O230 * 9) + (P230 * 4))&amp;"/"&amp;IFERROR(VLOOKUP(A225,OverviewTable[],11,FALSE),"?")</f>
        <v>2579.2/2365.2</v>
      </c>
      <c r="D225" s="16" t="str">
        <f>N230&amp;"/"&amp;IFERROR(VLOOKUP(A225,OverviewTable[],12,FALSE),"?")</f>
        <v>124.8/132</v>
      </c>
      <c r="E225" s="16" t="str">
        <f>O230&amp;"/"&amp;IFERROR(VLOOKUP(A225,OverviewTable[],13,FALSE),"?")</f>
        <v>112/66</v>
      </c>
      <c r="F225" s="16" t="str">
        <f>P230&amp;"/"&amp;IFERROR(VLOOKUP(A225,OverviewTable[],14,FALSE),"?")</f>
        <v>268/311</v>
      </c>
      <c r="G225" s="53"/>
      <c r="H225" s="53"/>
      <c r="I225" s="51"/>
      <c r="J225" s="51"/>
      <c r="K225" s="51"/>
      <c r="L225" s="51"/>
      <c r="M225" s="54" t="s">
        <v>6</v>
      </c>
      <c r="N225" s="54">
        <f>(A228 * IFERROR(VLOOKUP(B228,BreakfastTable[],2,FALSE),0)) + (A229 * IFERROR(VLOOKUP(B229,BreakfastTable[],2,FALSE),0)) + (A230 * IFERROR(VLOOKUP(B230,BreakfastTable[],2,FALSE),0)) + (A231 * IFERROR(VLOOKUP(B231,BreakfastTable[],2,FALSE),0))</f>
        <v>49</v>
      </c>
      <c r="O225" s="54">
        <f>(A228 * IFERROR(VLOOKUP(B228,BreakfastTable[],3,FALSE),0)) + (A229 * IFERROR(VLOOKUP(B229,BreakfastTable[],3,FALSE),0)) + (A230 * IFERROR(VLOOKUP(B230,BreakfastTable[],3,FALSE),0)) + (A231 * IFERROR(VLOOKUP(B231,BreakfastTable[],3,FALSE),0))</f>
        <v>23.5</v>
      </c>
      <c r="P225" s="54">
        <f>(A228 * IFERROR(VLOOKUP(B228,BreakfastTable[],4,FALSE),0)) + (A229 * IFERROR(VLOOKUP(B229,BreakfastTable[],4,FALSE),0)) + (A230 * IFERROR(VLOOKUP(B230,BreakfastTable[],4,FALSE),0)) + (A231 * IFERROR(VLOOKUP(B231,BreakfastTable[],4,FALSE),0))</f>
        <v>29</v>
      </c>
    </row>
    <row r="226" spans="1:16" x14ac:dyDescent="0.25">
      <c r="A226" s="17"/>
      <c r="B226" s="17"/>
      <c r="C226" s="17"/>
      <c r="D226" s="17"/>
      <c r="E226" s="17"/>
      <c r="F226" s="17"/>
      <c r="G226" s="53"/>
      <c r="H226" s="53"/>
      <c r="I226" s="51"/>
      <c r="J226" s="51"/>
      <c r="K226" s="51"/>
      <c r="L226" s="51"/>
      <c r="M226" s="54" t="s">
        <v>11</v>
      </c>
      <c r="N226" s="54">
        <f>(C228 * IFERROR(VLOOKUP(D228,LunchTable[],2,FALSE),0)) + (C229 * IFERROR(VLOOKUP(D229,LunchTable[],2,FALSE),0)) + (C230 * IFERROR(VLOOKUP(D230,LunchTable[],2,FALSE),0)) + (C231 * IFERROR(VLOOKUP(D231,LunchTable[],2,FALSE),0))</f>
        <v>0</v>
      </c>
      <c r="O226" s="54">
        <f>(C228 * IFERROR(VLOOKUP(D228,LunchTable[],3,FALSE),0)) + (C229 * IFERROR(VLOOKUP(D229,LunchTable[],3,FALSE),0)) + (C230 * IFERROR(VLOOKUP(D230,LunchTable[],3,FALSE),0)) + (C231 * IFERROR(VLOOKUP(D231,LunchTable[],3,FALSE),0))</f>
        <v>0</v>
      </c>
      <c r="P226" s="54">
        <f>(C228 * IFERROR(VLOOKUP(D228,LunchTable[],4,FALSE),0)) + (C229 * IFERROR(VLOOKUP(D229,LunchTable[],4,FALSE),0)) + (C230 * IFERROR(VLOOKUP(D230,LunchTable[],4,FALSE),0)) + (C231 * IFERROR(VLOOKUP(D231,LunchTable[],4,FALSE),0))</f>
        <v>0</v>
      </c>
    </row>
    <row r="227" spans="1:16" ht="18" thickBot="1" x14ac:dyDescent="0.35">
      <c r="A227" s="10" t="s">
        <v>34</v>
      </c>
      <c r="B227" s="11" t="s">
        <v>6</v>
      </c>
      <c r="C227" s="10" t="s">
        <v>34</v>
      </c>
      <c r="D227" s="11" t="s">
        <v>11</v>
      </c>
      <c r="E227" s="10" t="s">
        <v>34</v>
      </c>
      <c r="F227" s="11" t="s">
        <v>12</v>
      </c>
      <c r="G227" s="10" t="s">
        <v>34</v>
      </c>
      <c r="H227" s="12" t="s">
        <v>35</v>
      </c>
      <c r="I227" s="5" t="s">
        <v>41</v>
      </c>
      <c r="J227" s="5" t="s">
        <v>42</v>
      </c>
      <c r="K227" s="5" t="s">
        <v>43</v>
      </c>
      <c r="L227" s="51"/>
      <c r="M227" s="54" t="s">
        <v>12</v>
      </c>
      <c r="N227" s="54">
        <f>(E228 * IFERROR(VLOOKUP(F228,DinnerTable[],2,FALSE),0)) + (E229 * IFERROR(VLOOKUP(F229,DinnerTable[],2,FALSE),0)) + (E230 * IFERROR(VLOOKUP(F230,DinnerTable[],2,FALSE),0)) + (E231 * IFERROR(VLOOKUP(F231,DinnerTable[],2,FALSE),0))</f>
        <v>72</v>
      </c>
      <c r="O227" s="54">
        <f>(E228 * IFERROR(VLOOKUP(F228,DinnerTable[],3,FALSE),0)) + (E229 * IFERROR(VLOOKUP(F229,DinnerTable[],3,FALSE),0)) + (E230 * IFERROR(VLOOKUP(F230,DinnerTable[],3,FALSE),0)) + (E231 * IFERROR(VLOOKUP(F231,DinnerTable[],3,FALSE),0))</f>
        <v>66.5</v>
      </c>
      <c r="P227" s="54">
        <f>(E228 * IFERROR(VLOOKUP(F228,DinnerTable[],4,FALSE),0)) + (E229 * IFERROR(VLOOKUP(F229,DinnerTable[],4,FALSE),0)) + (E230 * IFERROR(VLOOKUP(F230,DinnerTable[],4,FALSE),0)) + (E231 * IFERROR(VLOOKUP(F231,DinnerTable[],4,FALSE),0))</f>
        <v>181</v>
      </c>
    </row>
    <row r="228" spans="1:16" ht="15.75" thickTop="1" x14ac:dyDescent="0.25">
      <c r="A228" s="17">
        <v>1</v>
      </c>
      <c r="B228" s="17" t="s">
        <v>105</v>
      </c>
      <c r="C228" s="17"/>
      <c r="D228" s="17"/>
      <c r="E228" s="17">
        <v>0.5</v>
      </c>
      <c r="F228" s="17" t="s">
        <v>45</v>
      </c>
      <c r="G228" s="17"/>
      <c r="H228" s="17"/>
      <c r="I228" s="2">
        <v>3.8</v>
      </c>
      <c r="J228" s="2">
        <v>22</v>
      </c>
      <c r="K228" s="2">
        <v>58</v>
      </c>
      <c r="L228" s="51"/>
      <c r="M228" s="54" t="s">
        <v>35</v>
      </c>
      <c r="N228" s="54">
        <f>(G228 * IFERROR(VLOOKUP(H228,PostWorkoutTable[],2,FALSE),0)) + (G229 * IFERROR(VLOOKUP(H229,PostWorkoutTable[],2,FALSE),0)) + (G230 * IFERROR(VLOOKUP(H230,PostWorkoutTable[],2,FALSE),0)) + (G231 * IFERROR(VLOOKUP(H231,PostWorkoutTable[],2,FALSE),0))</f>
        <v>0</v>
      </c>
      <c r="O228" s="54">
        <f>(G228 * IFERROR(VLOOKUP(H228,PostWorkoutTable[],3,FALSE),0)) + (G229 * IFERROR(VLOOKUP(H229,PostWorkoutTable[],3,FALSE),0)) + (G230 * IFERROR(VLOOKUP(H230,PostWorkoutTable[],3,FALSE),0)) + (G231 * IFERROR(VLOOKUP(H231,PostWorkoutTable[],3,FALSE),0))</f>
        <v>0</v>
      </c>
      <c r="P228" s="54">
        <f>(G228 * IFERROR(VLOOKUP(H228,PostWorkoutTable[],4,FALSE),0)) + (G229 * IFERROR(VLOOKUP(H229,PostWorkoutTable[],4,FALSE),0)) + (G230 * IFERROR(VLOOKUP(H230,PostWorkoutTable[],4,FALSE),0)) + (G231 * IFERROR(VLOOKUP(H231,PostWorkoutTable[],4,FALSE),0))</f>
        <v>0</v>
      </c>
    </row>
    <row r="229" spans="1:16" x14ac:dyDescent="0.25">
      <c r="A229" s="17">
        <v>3</v>
      </c>
      <c r="B229" s="17" t="s">
        <v>29</v>
      </c>
      <c r="C229" s="17"/>
      <c r="D229" s="17"/>
      <c r="E229" s="17">
        <v>1</v>
      </c>
      <c r="F229" s="17" t="s">
        <v>56</v>
      </c>
      <c r="G229" s="17"/>
      <c r="H229" s="17"/>
      <c r="I229" s="2"/>
      <c r="J229" s="2"/>
      <c r="K229" s="2"/>
      <c r="L229" s="51"/>
      <c r="M229" s="54" t="s">
        <v>21</v>
      </c>
      <c r="N229" s="54">
        <f xml:space="preserve"> SUM(I228:I231)</f>
        <v>3.8</v>
      </c>
      <c r="O229" s="54">
        <f>SUM(J228:J231)</f>
        <v>22</v>
      </c>
      <c r="P229" s="54">
        <f>SUM(K228:K231)</f>
        <v>58</v>
      </c>
    </row>
    <row r="230" spans="1:16" x14ac:dyDescent="0.25">
      <c r="A230" s="17">
        <v>2</v>
      </c>
      <c r="B230" s="17" t="s">
        <v>49</v>
      </c>
      <c r="C230" s="17"/>
      <c r="D230" s="17"/>
      <c r="E230" s="17">
        <v>0.25</v>
      </c>
      <c r="F230" s="17" t="s">
        <v>44</v>
      </c>
      <c r="G230" s="17"/>
      <c r="H230" s="17"/>
      <c r="I230" s="2"/>
      <c r="J230" s="2"/>
      <c r="K230" s="2"/>
      <c r="L230" s="51"/>
      <c r="M230" s="54" t="s">
        <v>38</v>
      </c>
      <c r="N230" s="54">
        <f>SUM(N225:N229)</f>
        <v>124.8</v>
      </c>
      <c r="O230" s="54">
        <f>SUM(O225:O229)</f>
        <v>112</v>
      </c>
      <c r="P230" s="54">
        <f>SUM(P225:P229)</f>
        <v>268</v>
      </c>
    </row>
    <row r="231" spans="1:16" x14ac:dyDescent="0.25">
      <c r="A231" s="17"/>
      <c r="B231" s="17"/>
      <c r="C231" s="17"/>
      <c r="D231" s="17"/>
      <c r="E231" s="17">
        <v>2</v>
      </c>
      <c r="F231" s="17" t="s">
        <v>68</v>
      </c>
      <c r="G231" s="17"/>
      <c r="H231" s="17"/>
      <c r="I231" s="2"/>
      <c r="J231" s="2"/>
      <c r="K231" s="2"/>
      <c r="L231" s="51"/>
      <c r="M231" s="51"/>
      <c r="N231" s="51"/>
      <c r="O231" s="51"/>
      <c r="P231" s="51"/>
    </row>
    <row r="232" spans="1:16" x14ac:dyDescent="0.25">
      <c r="A232" s="51"/>
      <c r="B232" s="51"/>
      <c r="C232" s="51"/>
      <c r="D232" s="51"/>
      <c r="E232" s="51"/>
      <c r="F232" s="51"/>
      <c r="G232" s="51"/>
      <c r="H232" s="51"/>
      <c r="I232" s="51">
        <f>SUM(I228:I231)</f>
        <v>3.8</v>
      </c>
      <c r="J232" s="51">
        <f>SUM(J228:J231)</f>
        <v>22</v>
      </c>
      <c r="K232" s="51">
        <f>SUM(K228:K231)</f>
        <v>58</v>
      </c>
      <c r="L232" s="51"/>
      <c r="M232" s="51"/>
      <c r="N232" s="51"/>
      <c r="O232" s="51"/>
      <c r="P232" s="51"/>
    </row>
    <row r="233" spans="1:16" ht="23.25" x14ac:dyDescent="0.35">
      <c r="A233" s="56">
        <v>43579</v>
      </c>
      <c r="B233" s="55"/>
      <c r="C233" s="55"/>
      <c r="D233" s="55"/>
      <c r="E233" s="55"/>
      <c r="F233" s="51"/>
      <c r="G233" s="51"/>
      <c r="H233" s="51"/>
      <c r="I233" s="51"/>
      <c r="J233" s="51"/>
      <c r="K233" s="51"/>
      <c r="L233" s="51"/>
      <c r="M233" s="51"/>
      <c r="N233" s="51"/>
      <c r="O233" s="51"/>
      <c r="P233" s="51"/>
    </row>
    <row r="234" spans="1:16" ht="18" thickBot="1" x14ac:dyDescent="0.35">
      <c r="A234" s="3" t="s">
        <v>48</v>
      </c>
      <c r="B234" s="3" t="s">
        <v>0</v>
      </c>
      <c r="C234" s="3" t="s">
        <v>36</v>
      </c>
      <c r="D234" s="3" t="s">
        <v>8</v>
      </c>
      <c r="E234" s="5" t="s">
        <v>9</v>
      </c>
      <c r="F234" s="5" t="s">
        <v>10</v>
      </c>
      <c r="G234" s="52"/>
      <c r="H234" s="53"/>
      <c r="I234" s="51"/>
      <c r="J234" s="51"/>
      <c r="K234" s="51"/>
      <c r="L234" s="51"/>
      <c r="M234" s="52"/>
      <c r="N234" s="54" t="s">
        <v>8</v>
      </c>
      <c r="O234" s="54" t="s">
        <v>9</v>
      </c>
      <c r="P234" s="54" t="s">
        <v>10</v>
      </c>
    </row>
    <row r="235" spans="1:16" ht="15.75" thickTop="1" x14ac:dyDescent="0.25">
      <c r="A235" s="18">
        <v>43577</v>
      </c>
      <c r="B235" s="16">
        <f>IFERROR(VLOOKUP(A235,OverviewTable[],2,FALSE),"?")</f>
        <v>132.19999999999999</v>
      </c>
      <c r="C235" s="16" t="str">
        <f>((N240 * 4) + (O240 * 9) + (P240 * 4))&amp;"/"&amp;IFERROR(VLOOKUP(A235,OverviewTable[],11,FALSE),"?")</f>
        <v>3081.5/2365.2</v>
      </c>
      <c r="D235" s="16" t="str">
        <f>N240&amp;"/"&amp;IFERROR(VLOOKUP(A235,OverviewTable[],12,FALSE),"?")</f>
        <v>151.5/132</v>
      </c>
      <c r="E235" s="16" t="str">
        <f>O240&amp;"/"&amp;IFERROR(VLOOKUP(A235,OverviewTable[],13,FALSE),"?")</f>
        <v>127.5/66</v>
      </c>
      <c r="F235" s="16" t="str">
        <f>P240&amp;"/"&amp;IFERROR(VLOOKUP(A235,OverviewTable[],14,FALSE),"?")</f>
        <v>332/311</v>
      </c>
      <c r="G235" s="53"/>
      <c r="H235" s="53"/>
      <c r="I235" s="51"/>
      <c r="J235" s="51"/>
      <c r="K235" s="51"/>
      <c r="L235" s="51"/>
      <c r="M235" s="54" t="s">
        <v>6</v>
      </c>
      <c r="N235" s="54">
        <f>(A238 * IFERROR(VLOOKUP(B238,BreakfastTable[],2,FALSE),0)) + (A239 * IFERROR(VLOOKUP(B239,BreakfastTable[],2,FALSE),0)) + (A240 * IFERROR(VLOOKUP(B240,BreakfastTable[],2,FALSE),0)) + (A241 * IFERROR(VLOOKUP(B241,BreakfastTable[],2,FALSE),0))</f>
        <v>20</v>
      </c>
      <c r="O235" s="54">
        <f>(A238 * IFERROR(VLOOKUP(B238,BreakfastTable[],3,FALSE),0)) + (A239 * IFERROR(VLOOKUP(B239,BreakfastTable[],3,FALSE),0)) + (A240 * IFERROR(VLOOKUP(B240,BreakfastTable[],3,FALSE),0)) + (A241 * IFERROR(VLOOKUP(B241,BreakfastTable[],3,FALSE),0))</f>
        <v>9</v>
      </c>
      <c r="P235" s="54">
        <f>(A238 * IFERROR(VLOOKUP(B238,BreakfastTable[],4,FALSE),0)) + (A239 * IFERROR(VLOOKUP(B239,BreakfastTable[],4,FALSE),0)) + (A240 * IFERROR(VLOOKUP(B240,BreakfastTable[],4,FALSE),0)) + (A241 * IFERROR(VLOOKUP(B241,BreakfastTable[],4,FALSE),0))</f>
        <v>30</v>
      </c>
    </row>
    <row r="236" spans="1:16" x14ac:dyDescent="0.25">
      <c r="A236" s="17"/>
      <c r="B236" s="17"/>
      <c r="C236" s="17"/>
      <c r="D236" s="17"/>
      <c r="E236" s="17"/>
      <c r="F236" s="17"/>
      <c r="G236" s="53"/>
      <c r="H236" s="53"/>
      <c r="I236" s="51"/>
      <c r="J236" s="51"/>
      <c r="K236" s="51"/>
      <c r="L236" s="51"/>
      <c r="M236" s="54" t="s">
        <v>11</v>
      </c>
      <c r="N236" s="54">
        <f>(C238 * IFERROR(VLOOKUP(D238,LunchTable[],2,FALSE),0)) + (C239 * IFERROR(VLOOKUP(D239,LunchTable[],2,FALSE),0)) + (C240 * IFERROR(VLOOKUP(D240,LunchTable[],2,FALSE),0)) + (C241 * IFERROR(VLOOKUP(D241,LunchTable[],2,FALSE),0))</f>
        <v>59.5</v>
      </c>
      <c r="O236" s="54">
        <f>(C238 * IFERROR(VLOOKUP(D238,LunchTable[],3,FALSE),0)) + (C239 * IFERROR(VLOOKUP(D239,LunchTable[],3,FALSE),0)) + (C240 * IFERROR(VLOOKUP(D240,LunchTable[],3,FALSE),0)) + (C241 * IFERROR(VLOOKUP(D241,LunchTable[],3,FALSE),0))</f>
        <v>52</v>
      </c>
      <c r="P236" s="54">
        <f>(C238 * IFERROR(VLOOKUP(D238,LunchTable[],4,FALSE),0)) + (C239 * IFERROR(VLOOKUP(D239,LunchTable[],4,FALSE),0)) + (C240 * IFERROR(VLOOKUP(D240,LunchTable[],4,FALSE),0)) + (C241 * IFERROR(VLOOKUP(D241,LunchTable[],4,FALSE),0))</f>
        <v>121</v>
      </c>
    </row>
    <row r="237" spans="1:16" ht="18" thickBot="1" x14ac:dyDescent="0.35">
      <c r="A237" s="10" t="s">
        <v>34</v>
      </c>
      <c r="B237" s="11" t="s">
        <v>6</v>
      </c>
      <c r="C237" s="10" t="s">
        <v>34</v>
      </c>
      <c r="D237" s="11" t="s">
        <v>11</v>
      </c>
      <c r="E237" s="10" t="s">
        <v>34</v>
      </c>
      <c r="F237" s="11" t="s">
        <v>12</v>
      </c>
      <c r="G237" s="10" t="s">
        <v>34</v>
      </c>
      <c r="H237" s="12" t="s">
        <v>35</v>
      </c>
      <c r="I237" s="5" t="s">
        <v>41</v>
      </c>
      <c r="J237" s="5" t="s">
        <v>42</v>
      </c>
      <c r="K237" s="5" t="s">
        <v>43</v>
      </c>
      <c r="L237" s="51"/>
      <c r="M237" s="54" t="s">
        <v>12</v>
      </c>
      <c r="N237" s="54">
        <f>(E238 * IFERROR(VLOOKUP(F238,DinnerTable[],2,FALSE),0)) + (E239 * IFERROR(VLOOKUP(F239,DinnerTable[],2,FALSE),0)) + (E240 * IFERROR(VLOOKUP(F240,DinnerTable[],2,FALSE),0)) + (E241 * IFERROR(VLOOKUP(F241,DinnerTable[],2,FALSE),0))</f>
        <v>72</v>
      </c>
      <c r="O237" s="54">
        <f>(E238 * IFERROR(VLOOKUP(F238,DinnerTable[],3,FALSE),0)) + (E239 * IFERROR(VLOOKUP(F239,DinnerTable[],3,FALSE),0)) + (E240 * IFERROR(VLOOKUP(F240,DinnerTable[],3,FALSE),0)) + (E241 * IFERROR(VLOOKUP(F241,DinnerTable[],3,FALSE),0))</f>
        <v>66.5</v>
      </c>
      <c r="P237" s="54">
        <f>(E238 * IFERROR(VLOOKUP(F238,DinnerTable[],4,FALSE),0)) + (E239 * IFERROR(VLOOKUP(F239,DinnerTable[],4,FALSE),0)) + (E240 * IFERROR(VLOOKUP(F240,DinnerTable[],4,FALSE),0)) + (E241 * IFERROR(VLOOKUP(F241,DinnerTable[],4,FALSE),0))</f>
        <v>181</v>
      </c>
    </row>
    <row r="238" spans="1:16" ht="15.75" thickTop="1" x14ac:dyDescent="0.25">
      <c r="A238" s="17">
        <v>1</v>
      </c>
      <c r="B238" s="17" t="s">
        <v>26</v>
      </c>
      <c r="C238" s="17">
        <v>1</v>
      </c>
      <c r="D238" s="17" t="s">
        <v>25</v>
      </c>
      <c r="E238" s="17">
        <v>0.5</v>
      </c>
      <c r="F238" s="17" t="s">
        <v>45</v>
      </c>
      <c r="G238" s="17"/>
      <c r="H238" s="17"/>
      <c r="I238" s="2"/>
      <c r="J238" s="2"/>
      <c r="K238" s="2"/>
      <c r="L238" s="51"/>
      <c r="M238" s="54" t="s">
        <v>35</v>
      </c>
      <c r="N238" s="54">
        <f>(G238 * IFERROR(VLOOKUP(H238,PostWorkoutTable[],2,FALSE),0)) + (G239 * IFERROR(VLOOKUP(H239,PostWorkoutTable[],2,FALSE),0)) + (G240 * IFERROR(VLOOKUP(H240,PostWorkoutTable[],2,FALSE),0)) + (G241 * IFERROR(VLOOKUP(H241,PostWorkoutTable[],2,FALSE),0))</f>
        <v>0</v>
      </c>
      <c r="O238" s="54">
        <f>(G238 * IFERROR(VLOOKUP(H238,PostWorkoutTable[],3,FALSE),0)) + (G239 * IFERROR(VLOOKUP(H239,PostWorkoutTable[],3,FALSE),0)) + (G240 * IFERROR(VLOOKUP(H240,PostWorkoutTable[],3,FALSE),0)) + (G241 * IFERROR(VLOOKUP(H241,PostWorkoutTable[],3,FALSE),0))</f>
        <v>0</v>
      </c>
      <c r="P238" s="54">
        <f>(G238 * IFERROR(VLOOKUP(H238,PostWorkoutTable[],4,FALSE),0)) + (G239 * IFERROR(VLOOKUP(H239,PostWorkoutTable[],4,FALSE),0)) + (G240 * IFERROR(VLOOKUP(H240,PostWorkoutTable[],4,FALSE),0)) + (G241 * IFERROR(VLOOKUP(H241,PostWorkoutTable[],4,FALSE),0))</f>
        <v>0</v>
      </c>
    </row>
    <row r="239" spans="1:16" x14ac:dyDescent="0.25">
      <c r="A239" s="17"/>
      <c r="B239" s="17"/>
      <c r="C239" s="17">
        <v>1</v>
      </c>
      <c r="D239" s="17" t="s">
        <v>54</v>
      </c>
      <c r="E239" s="17">
        <v>1</v>
      </c>
      <c r="F239" s="17" t="s">
        <v>56</v>
      </c>
      <c r="G239" s="17"/>
      <c r="H239" s="17"/>
      <c r="I239" s="2"/>
      <c r="J239" s="2"/>
      <c r="K239" s="2"/>
      <c r="L239" s="51"/>
      <c r="M239" s="54" t="s">
        <v>21</v>
      </c>
      <c r="N239" s="54">
        <f xml:space="preserve"> SUM(I238:I241)</f>
        <v>0</v>
      </c>
      <c r="O239" s="54">
        <f>SUM(J238:J241)</f>
        <v>0</v>
      </c>
      <c r="P239" s="54">
        <f>SUM(K238:K241)</f>
        <v>0</v>
      </c>
    </row>
    <row r="240" spans="1:16" x14ac:dyDescent="0.25">
      <c r="A240" s="17"/>
      <c r="B240" s="17"/>
      <c r="C240" s="17">
        <v>0.5</v>
      </c>
      <c r="D240" s="17" t="s">
        <v>55</v>
      </c>
      <c r="E240" s="17">
        <v>0.25</v>
      </c>
      <c r="F240" s="17" t="s">
        <v>44</v>
      </c>
      <c r="G240" s="17"/>
      <c r="H240" s="17"/>
      <c r="I240" s="2"/>
      <c r="J240" s="2"/>
      <c r="K240" s="2"/>
      <c r="L240" s="51"/>
      <c r="M240" s="54" t="s">
        <v>38</v>
      </c>
      <c r="N240" s="54">
        <f>SUM(N235:N239)</f>
        <v>151.5</v>
      </c>
      <c r="O240" s="54">
        <f>SUM(O235:O239)</f>
        <v>127.5</v>
      </c>
      <c r="P240" s="54">
        <f>SUM(P235:P239)</f>
        <v>332</v>
      </c>
    </row>
    <row r="241" spans="1:16" x14ac:dyDescent="0.25">
      <c r="A241" s="17"/>
      <c r="B241" s="17"/>
      <c r="C241" s="17"/>
      <c r="D241" s="17"/>
      <c r="E241" s="17">
        <v>2</v>
      </c>
      <c r="F241" s="17" t="s">
        <v>68</v>
      </c>
      <c r="G241" s="17"/>
      <c r="H241" s="17"/>
      <c r="I241" s="2"/>
      <c r="J241" s="2"/>
      <c r="K241" s="2"/>
      <c r="L241" s="51"/>
      <c r="M241" s="51"/>
      <c r="N241" s="51"/>
      <c r="O241" s="51"/>
      <c r="P241" s="51"/>
    </row>
    <row r="242" spans="1:16" x14ac:dyDescent="0.25">
      <c r="A242" s="51"/>
      <c r="B242" s="51"/>
      <c r="C242" s="51"/>
      <c r="D242" s="51"/>
      <c r="E242" s="51"/>
      <c r="F242" s="51"/>
      <c r="G242" s="51"/>
      <c r="H242" s="51"/>
      <c r="I242" s="51">
        <f>SUM(I238:I241)</f>
        <v>0</v>
      </c>
      <c r="J242" s="51">
        <f>SUM(J238:J241)</f>
        <v>0</v>
      </c>
      <c r="K242" s="51">
        <f>SUM(K238:K241)</f>
        <v>0</v>
      </c>
      <c r="L242" s="51"/>
      <c r="M242" s="51"/>
      <c r="N242" s="51"/>
      <c r="O242" s="51"/>
      <c r="P242" s="51"/>
    </row>
    <row r="243" spans="1:16" ht="23.25" x14ac:dyDescent="0.35">
      <c r="A243" s="56">
        <v>43580</v>
      </c>
      <c r="B243" s="55"/>
      <c r="C243" s="55"/>
      <c r="D243" s="55"/>
      <c r="E243" s="55"/>
      <c r="F243" s="51"/>
      <c r="G243" s="51"/>
      <c r="H243" s="51"/>
      <c r="I243" s="51"/>
      <c r="J243" s="51"/>
      <c r="K243" s="51"/>
      <c r="L243" s="51"/>
      <c r="M243" s="51"/>
      <c r="N243" s="51"/>
      <c r="O243" s="51"/>
      <c r="P243" s="51"/>
    </row>
    <row r="244" spans="1:16" ht="18" thickBot="1" x14ac:dyDescent="0.35">
      <c r="A244" s="3" t="s">
        <v>48</v>
      </c>
      <c r="B244" s="3" t="s">
        <v>0</v>
      </c>
      <c r="C244" s="3" t="s">
        <v>36</v>
      </c>
      <c r="D244" s="3" t="s">
        <v>8</v>
      </c>
      <c r="E244" s="5" t="s">
        <v>9</v>
      </c>
      <c r="F244" s="5" t="s">
        <v>10</v>
      </c>
      <c r="G244" s="52"/>
      <c r="H244" s="53"/>
      <c r="I244" s="51"/>
      <c r="J244" s="51"/>
      <c r="K244" s="51"/>
      <c r="L244" s="51"/>
      <c r="M244" s="52"/>
      <c r="N244" s="54" t="s">
        <v>8</v>
      </c>
      <c r="O244" s="54" t="s">
        <v>9</v>
      </c>
      <c r="P244" s="54" t="s">
        <v>10</v>
      </c>
    </row>
    <row r="245" spans="1:16" ht="15.75" thickTop="1" x14ac:dyDescent="0.25">
      <c r="A245" s="18">
        <v>43577</v>
      </c>
      <c r="B245" s="16">
        <f>IFERROR(VLOOKUP(A245,OverviewTable[],2,FALSE),"?")</f>
        <v>132.19999999999999</v>
      </c>
      <c r="C245" s="16" t="str">
        <f>((N250 * 4) + (O250 * 9) + (P250 * 4))&amp;"/"&amp;IFERROR(VLOOKUP(A245,OverviewTable[],11,FALSE),"?")</f>
        <v>2262.1/2365.2</v>
      </c>
      <c r="D245" s="16" t="str">
        <f>N250&amp;"/"&amp;IFERROR(VLOOKUP(A245,OverviewTable[],12,FALSE),"?")</f>
        <v>123.5/132</v>
      </c>
      <c r="E245" s="16" t="str">
        <f>O250&amp;"/"&amp;IFERROR(VLOOKUP(A245,OverviewTable[],13,FALSE),"?")</f>
        <v>78.1/66</v>
      </c>
      <c r="F245" s="16" t="str">
        <f>P250&amp;"/"&amp;IFERROR(VLOOKUP(A245,OverviewTable[],14,FALSE),"?")</f>
        <v>266.3/311</v>
      </c>
      <c r="G245" s="53"/>
      <c r="H245" s="53"/>
      <c r="I245" s="51"/>
      <c r="J245" s="51"/>
      <c r="K245" s="51"/>
      <c r="L245" s="51"/>
      <c r="M245" s="54" t="s">
        <v>6</v>
      </c>
      <c r="N245" s="54">
        <f>(A248 * IFERROR(VLOOKUP(B248,BreakfastTable[],2,FALSE),0)) + (A249 * IFERROR(VLOOKUP(B249,BreakfastTable[],2,FALSE),0)) + (A250 * IFERROR(VLOOKUP(B250,BreakfastTable[],2,FALSE),0)) + (A251 * IFERROR(VLOOKUP(B251,BreakfastTable[],2,FALSE),0))</f>
        <v>20</v>
      </c>
      <c r="O245" s="54">
        <f>(A248 * IFERROR(VLOOKUP(B248,BreakfastTable[],3,FALSE),0)) + (A249 * IFERROR(VLOOKUP(B249,BreakfastTable[],3,FALSE),0)) + (A250 * IFERROR(VLOOKUP(B250,BreakfastTable[],3,FALSE),0)) + (A251 * IFERROR(VLOOKUP(B251,BreakfastTable[],3,FALSE),0))</f>
        <v>10</v>
      </c>
      <c r="P245" s="54">
        <f>(A248 * IFERROR(VLOOKUP(B248,BreakfastTable[],4,FALSE),0)) + (A249 * IFERROR(VLOOKUP(B249,BreakfastTable[],4,FALSE),0)) + (A250 * IFERROR(VLOOKUP(B250,BreakfastTable[],4,FALSE),0)) + (A251 * IFERROR(VLOOKUP(B251,BreakfastTable[],4,FALSE),0))</f>
        <v>21</v>
      </c>
    </row>
    <row r="246" spans="1:16" x14ac:dyDescent="0.25">
      <c r="A246" s="17"/>
      <c r="B246" s="17"/>
      <c r="C246" s="17"/>
      <c r="D246" s="17"/>
      <c r="E246" s="17"/>
      <c r="F246" s="17"/>
      <c r="G246" s="53"/>
      <c r="H246" s="53"/>
      <c r="I246" s="51"/>
      <c r="J246" s="51"/>
      <c r="K246" s="51"/>
      <c r="L246" s="51"/>
      <c r="M246" s="54" t="s">
        <v>11</v>
      </c>
      <c r="N246" s="54">
        <f>(C248 * IFERROR(VLOOKUP(D248,LunchTable[],2,FALSE),0)) + (C249 * IFERROR(VLOOKUP(D249,LunchTable[],2,FALSE),0)) + (C250 * IFERROR(VLOOKUP(D250,LunchTable[],2,FALSE),0)) + (C251 * IFERROR(VLOOKUP(D251,LunchTable[],2,FALSE),0))</f>
        <v>31</v>
      </c>
      <c r="O246" s="54">
        <f>(C248 * IFERROR(VLOOKUP(D248,LunchTable[],3,FALSE),0)) + (C249 * IFERROR(VLOOKUP(D249,LunchTable[],3,FALSE),0)) + (C250 * IFERROR(VLOOKUP(D250,LunchTable[],3,FALSE),0)) + (C251 * IFERROR(VLOOKUP(D251,LunchTable[],3,FALSE),0))</f>
        <v>13</v>
      </c>
      <c r="P246" s="54">
        <f>(C248 * IFERROR(VLOOKUP(D248,LunchTable[],4,FALSE),0)) + (C249 * IFERROR(VLOOKUP(D249,LunchTable[],4,FALSE),0)) + (C250 * IFERROR(VLOOKUP(D250,LunchTable[],4,FALSE),0)) + (C251 * IFERROR(VLOOKUP(D251,LunchTable[],4,FALSE),0))</f>
        <v>59</v>
      </c>
    </row>
    <row r="247" spans="1:16" ht="18" thickBot="1" x14ac:dyDescent="0.35">
      <c r="A247" s="10" t="s">
        <v>34</v>
      </c>
      <c r="B247" s="11" t="s">
        <v>6</v>
      </c>
      <c r="C247" s="10" t="s">
        <v>34</v>
      </c>
      <c r="D247" s="11" t="s">
        <v>11</v>
      </c>
      <c r="E247" s="10" t="s">
        <v>34</v>
      </c>
      <c r="F247" s="11" t="s">
        <v>12</v>
      </c>
      <c r="G247" s="10" t="s">
        <v>34</v>
      </c>
      <c r="H247" s="12" t="s">
        <v>35</v>
      </c>
      <c r="I247" s="5" t="s">
        <v>41</v>
      </c>
      <c r="J247" s="5" t="s">
        <v>42</v>
      </c>
      <c r="K247" s="5" t="s">
        <v>43</v>
      </c>
      <c r="L247" s="51"/>
      <c r="M247" s="54" t="s">
        <v>12</v>
      </c>
      <c r="N247" s="54">
        <f>(E248 * IFERROR(VLOOKUP(F248,DinnerTable[],2,FALSE),0)) + (E249 * IFERROR(VLOOKUP(F249,DinnerTable[],2,FALSE),0)) + (E250 * IFERROR(VLOOKUP(F250,DinnerTable[],2,FALSE),0)) + (E251 * IFERROR(VLOOKUP(F251,DinnerTable[],2,FALSE),0))</f>
        <v>40</v>
      </c>
      <c r="O247" s="54">
        <f>(E248 * IFERROR(VLOOKUP(F248,DinnerTable[],3,FALSE),0)) + (E249 * IFERROR(VLOOKUP(F249,DinnerTable[],3,FALSE),0)) + (E250 * IFERROR(VLOOKUP(F250,DinnerTable[],3,FALSE),0)) + (E251 * IFERROR(VLOOKUP(F251,DinnerTable[],3,FALSE),0))</f>
        <v>40</v>
      </c>
      <c r="P247" s="54">
        <f>(E248 * IFERROR(VLOOKUP(F248,DinnerTable[],4,FALSE),0)) + (E249 * IFERROR(VLOOKUP(F249,DinnerTable[],4,FALSE),0)) + (E250 * IFERROR(VLOOKUP(F250,DinnerTable[],4,FALSE),0)) + (E251 * IFERROR(VLOOKUP(F251,DinnerTable[],4,FALSE),0))</f>
        <v>30</v>
      </c>
    </row>
    <row r="248" spans="1:16" ht="15.75" thickTop="1" x14ac:dyDescent="0.25">
      <c r="A248" s="17">
        <v>1</v>
      </c>
      <c r="B248" s="17" t="s">
        <v>105</v>
      </c>
      <c r="C248" s="17">
        <v>1</v>
      </c>
      <c r="D248" s="17" t="s">
        <v>23</v>
      </c>
      <c r="E248" s="17">
        <v>1</v>
      </c>
      <c r="F248" s="17" t="s">
        <v>67</v>
      </c>
      <c r="G248" s="17">
        <v>1</v>
      </c>
      <c r="H248" s="17" t="s">
        <v>98</v>
      </c>
      <c r="I248" s="2">
        <v>0.2</v>
      </c>
      <c r="J248" s="2">
        <v>0.2</v>
      </c>
      <c r="K248" s="2">
        <v>101</v>
      </c>
      <c r="L248" s="51"/>
      <c r="M248" s="54" t="s">
        <v>35</v>
      </c>
      <c r="N248" s="54">
        <f>(G248 * IFERROR(VLOOKUP(H248,PostWorkoutTable[],2,FALSE),0)) + (G249 * IFERROR(VLOOKUP(H249,PostWorkoutTable[],2,FALSE),0)) + (G250 * IFERROR(VLOOKUP(H250,PostWorkoutTable[],2,FALSE),0)) + (G251 * IFERROR(VLOOKUP(H251,PostWorkoutTable[],2,FALSE),0))</f>
        <v>32.299999999999997</v>
      </c>
      <c r="O248" s="54">
        <f>(G248 * IFERROR(VLOOKUP(H248,PostWorkoutTable[],3,FALSE),0)) + (G249 * IFERROR(VLOOKUP(H249,PostWorkoutTable[],3,FALSE),0)) + (G250 * IFERROR(VLOOKUP(H250,PostWorkoutTable[],3,FALSE),0)) + (G251 * IFERROR(VLOOKUP(H251,PostWorkoutTable[],3,FALSE),0))</f>
        <v>14.9</v>
      </c>
      <c r="P248" s="54">
        <f>(G248 * IFERROR(VLOOKUP(H248,PostWorkoutTable[],4,FALSE),0)) + (G249 * IFERROR(VLOOKUP(H249,PostWorkoutTable[],4,FALSE),0)) + (G250 * IFERROR(VLOOKUP(H250,PostWorkoutTable[],4,FALSE),0)) + (G251 * IFERROR(VLOOKUP(H251,PostWorkoutTable[],4,FALSE),0))</f>
        <v>55.3</v>
      </c>
    </row>
    <row r="249" spans="1:16" x14ac:dyDescent="0.25">
      <c r="A249" s="17"/>
      <c r="B249" s="17"/>
      <c r="C249" s="17">
        <v>0.25</v>
      </c>
      <c r="D249" s="17" t="s">
        <v>51</v>
      </c>
      <c r="E249" s="17">
        <v>1</v>
      </c>
      <c r="F249" s="17" t="s">
        <v>50</v>
      </c>
      <c r="G249" s="17"/>
      <c r="H249" s="17"/>
      <c r="I249" s="2"/>
      <c r="J249" s="2"/>
      <c r="K249" s="2"/>
      <c r="L249" s="51"/>
      <c r="M249" s="54" t="s">
        <v>21</v>
      </c>
      <c r="N249" s="54">
        <f xml:space="preserve"> SUM(I248:I251)</f>
        <v>0.2</v>
      </c>
      <c r="O249" s="54">
        <f>SUM(J248:J251)</f>
        <v>0.2</v>
      </c>
      <c r="P249" s="54">
        <f>SUM(K248:K251)</f>
        <v>101</v>
      </c>
    </row>
    <row r="250" spans="1:16" x14ac:dyDescent="0.25">
      <c r="A250" s="17"/>
      <c r="B250" s="17"/>
      <c r="C250" s="17">
        <v>1</v>
      </c>
      <c r="D250" s="17" t="s">
        <v>90</v>
      </c>
      <c r="E250" s="17"/>
      <c r="F250" s="17"/>
      <c r="G250" s="17"/>
      <c r="H250" s="17"/>
      <c r="I250" s="2"/>
      <c r="J250" s="2"/>
      <c r="K250" s="2"/>
      <c r="L250" s="51"/>
      <c r="M250" s="54" t="s">
        <v>38</v>
      </c>
      <c r="N250" s="54">
        <f>SUM(N245:N249)</f>
        <v>123.5</v>
      </c>
      <c r="O250" s="54">
        <f>SUM(O245:O249)</f>
        <v>78.100000000000009</v>
      </c>
      <c r="P250" s="54">
        <f>SUM(P245:P249)</f>
        <v>266.3</v>
      </c>
    </row>
    <row r="251" spans="1:16" x14ac:dyDescent="0.25">
      <c r="A251" s="17"/>
      <c r="B251" s="17"/>
      <c r="C251" s="17"/>
      <c r="D251" s="17"/>
      <c r="E251" s="17"/>
      <c r="F251" s="17"/>
      <c r="G251" s="17"/>
      <c r="H251" s="17"/>
      <c r="I251" s="2"/>
      <c r="J251" s="2"/>
      <c r="K251" s="2"/>
      <c r="L251" s="51"/>
      <c r="M251" s="51"/>
      <c r="N251" s="51"/>
      <c r="O251" s="51"/>
      <c r="P251" s="51"/>
    </row>
    <row r="252" spans="1:16" x14ac:dyDescent="0.25">
      <c r="A252" s="51"/>
      <c r="B252" s="51"/>
      <c r="C252" s="51"/>
      <c r="D252" s="51"/>
      <c r="E252" s="51"/>
      <c r="F252" s="51"/>
      <c r="G252" s="51"/>
      <c r="H252" s="51"/>
      <c r="I252" s="51">
        <f>SUM(I248:I251)</f>
        <v>0.2</v>
      </c>
      <c r="J252" s="51">
        <f>SUM(J248:J251)</f>
        <v>0.2</v>
      </c>
      <c r="K252" s="51">
        <f>SUM(K248:K251)</f>
        <v>101</v>
      </c>
      <c r="L252" s="51"/>
      <c r="M252" s="51"/>
      <c r="N252" s="51"/>
      <c r="O252" s="51"/>
      <c r="P252" s="51"/>
    </row>
    <row r="253" spans="1:16" ht="23.25" x14ac:dyDescent="0.35">
      <c r="A253" s="56">
        <v>43581</v>
      </c>
      <c r="B253" s="55"/>
      <c r="C253" s="55"/>
      <c r="D253" s="55"/>
      <c r="E253" s="55"/>
      <c r="F253" s="51"/>
      <c r="G253" s="51"/>
      <c r="H253" s="51"/>
      <c r="I253" s="51"/>
      <c r="J253" s="51"/>
      <c r="K253" s="51"/>
      <c r="L253" s="51"/>
      <c r="M253" s="51"/>
      <c r="N253" s="51"/>
      <c r="O253" s="51"/>
      <c r="P253" s="51"/>
    </row>
    <row r="254" spans="1:16" ht="18" thickBot="1" x14ac:dyDescent="0.35">
      <c r="A254" s="3" t="s">
        <v>48</v>
      </c>
      <c r="B254" s="3" t="s">
        <v>0</v>
      </c>
      <c r="C254" s="3" t="s">
        <v>36</v>
      </c>
      <c r="D254" s="3" t="s">
        <v>8</v>
      </c>
      <c r="E254" s="5" t="s">
        <v>9</v>
      </c>
      <c r="F254" s="5" t="s">
        <v>10</v>
      </c>
      <c r="G254" s="52"/>
      <c r="H254" s="53"/>
      <c r="I254" s="51"/>
      <c r="J254" s="51"/>
      <c r="K254" s="51"/>
      <c r="L254" s="51"/>
      <c r="M254" s="52"/>
      <c r="N254" s="54" t="s">
        <v>8</v>
      </c>
      <c r="O254" s="54" t="s">
        <v>9</v>
      </c>
      <c r="P254" s="54" t="s">
        <v>10</v>
      </c>
    </row>
    <row r="255" spans="1:16" ht="15.75" thickTop="1" x14ac:dyDescent="0.25">
      <c r="A255" s="18">
        <v>43577</v>
      </c>
      <c r="B255" s="16">
        <f>IFERROR(VLOOKUP(A255,OverviewTable[],2,FALSE),"?")</f>
        <v>132.19999999999999</v>
      </c>
      <c r="C255" s="16" t="str">
        <f>((N260 * 4) + (O260 * 9) + (P260 * 4))&amp;"/"&amp;IFERROR(VLOOKUP(A255,OverviewTable[],11,FALSE),"?")</f>
        <v>2255.4/2365.2</v>
      </c>
      <c r="D255" s="16" t="str">
        <f>N260&amp;"/"&amp;IFERROR(VLOOKUP(A255,OverviewTable[],12,FALSE),"?")</f>
        <v>88.7/132</v>
      </c>
      <c r="E255" s="16" t="str">
        <f>O260&amp;"/"&amp;IFERROR(VLOOKUP(A255,OverviewTable[],13,FALSE),"?")</f>
        <v>89/66</v>
      </c>
      <c r="F255" s="16" t="str">
        <f>P260&amp;"/"&amp;IFERROR(VLOOKUP(A255,OverviewTable[],14,FALSE),"?")</f>
        <v>274.9/311</v>
      </c>
      <c r="G255" s="53"/>
      <c r="H255" s="53"/>
      <c r="I255" s="51"/>
      <c r="J255" s="51"/>
      <c r="K255" s="51"/>
      <c r="L255" s="51"/>
      <c r="M255" s="54" t="s">
        <v>6</v>
      </c>
      <c r="N255" s="54">
        <f>(A258 * IFERROR(VLOOKUP(B258,BreakfastTable[],2,FALSE),0)) + (A259 * IFERROR(VLOOKUP(B259,BreakfastTable[],2,FALSE),0)) + (A260 * IFERROR(VLOOKUP(B260,BreakfastTable[],2,FALSE),0)) + (A261 * IFERROR(VLOOKUP(B261,BreakfastTable[],2,FALSE),0))</f>
        <v>21.6</v>
      </c>
      <c r="O255" s="54">
        <f>(A258 * IFERROR(VLOOKUP(B258,BreakfastTable[],3,FALSE),0)) + (A259 * IFERROR(VLOOKUP(B259,BreakfastTable[],3,FALSE),0)) + (A260 * IFERROR(VLOOKUP(B260,BreakfastTable[],3,FALSE),0)) + (A261 * IFERROR(VLOOKUP(B261,BreakfastTable[],3,FALSE),0))</f>
        <v>10.5</v>
      </c>
      <c r="P255" s="54">
        <f>(A258 * IFERROR(VLOOKUP(B258,BreakfastTable[],4,FALSE),0)) + (A259 * IFERROR(VLOOKUP(B259,BreakfastTable[],4,FALSE),0)) + (A260 * IFERROR(VLOOKUP(B260,BreakfastTable[],4,FALSE),0)) + (A261 * IFERROR(VLOOKUP(B261,BreakfastTable[],4,FALSE),0))</f>
        <v>55.3</v>
      </c>
    </row>
    <row r="256" spans="1:16" x14ac:dyDescent="0.25">
      <c r="A256" s="17"/>
      <c r="B256" s="17"/>
      <c r="C256" s="17"/>
      <c r="D256" s="17"/>
      <c r="E256" s="17"/>
      <c r="F256" s="17"/>
      <c r="G256" s="53"/>
      <c r="H256" s="53"/>
      <c r="I256" s="51"/>
      <c r="J256" s="51"/>
      <c r="K256" s="51"/>
      <c r="L256" s="51"/>
      <c r="M256" s="54" t="s">
        <v>11</v>
      </c>
      <c r="N256" s="54">
        <f>(C258 * IFERROR(VLOOKUP(D258,LunchTable[],2,FALSE),0)) + (C259 * IFERROR(VLOOKUP(D259,LunchTable[],2,FALSE),0)) + (C260 * IFERROR(VLOOKUP(D260,LunchTable[],2,FALSE),0)) + (C261 * IFERROR(VLOOKUP(D261,LunchTable[],2,FALSE),0))</f>
        <v>0</v>
      </c>
      <c r="O256" s="54">
        <f>(C258 * IFERROR(VLOOKUP(D258,LunchTable[],3,FALSE),0)) + (C259 * IFERROR(VLOOKUP(D259,LunchTable[],3,FALSE),0)) + (C260 * IFERROR(VLOOKUP(D260,LunchTable[],3,FALSE),0)) + (C261 * IFERROR(VLOOKUP(D261,LunchTable[],3,FALSE),0))</f>
        <v>0</v>
      </c>
      <c r="P256" s="54">
        <f>(C258 * IFERROR(VLOOKUP(D258,LunchTable[],4,FALSE),0)) + (C259 * IFERROR(VLOOKUP(D259,LunchTable[],4,FALSE),0)) + (C260 * IFERROR(VLOOKUP(D260,LunchTable[],4,FALSE),0)) + (C261 * IFERROR(VLOOKUP(D261,LunchTable[],4,FALSE),0))</f>
        <v>0</v>
      </c>
    </row>
    <row r="257" spans="1:16" ht="18" thickBot="1" x14ac:dyDescent="0.35">
      <c r="A257" s="10" t="s">
        <v>34</v>
      </c>
      <c r="B257" s="11" t="s">
        <v>6</v>
      </c>
      <c r="C257" s="10" t="s">
        <v>34</v>
      </c>
      <c r="D257" s="11" t="s">
        <v>11</v>
      </c>
      <c r="E257" s="10" t="s">
        <v>34</v>
      </c>
      <c r="F257" s="11" t="s">
        <v>12</v>
      </c>
      <c r="G257" s="10" t="s">
        <v>34</v>
      </c>
      <c r="H257" s="12" t="s">
        <v>35</v>
      </c>
      <c r="I257" s="5" t="s">
        <v>41</v>
      </c>
      <c r="J257" s="5" t="s">
        <v>42</v>
      </c>
      <c r="K257" s="5" t="s">
        <v>43</v>
      </c>
      <c r="L257" s="51"/>
      <c r="M257" s="54" t="s">
        <v>12</v>
      </c>
      <c r="N257" s="54">
        <f>(E258 * IFERROR(VLOOKUP(F258,DinnerTable[],2,FALSE),0)) + (E259 * IFERROR(VLOOKUP(F259,DinnerTable[],2,FALSE),0)) + (E260 * IFERROR(VLOOKUP(F260,DinnerTable[],2,FALSE),0)) + (E261 * IFERROR(VLOOKUP(F261,DinnerTable[],2,FALSE),0))</f>
        <v>52.5</v>
      </c>
      <c r="O257" s="54">
        <f>(E258 * IFERROR(VLOOKUP(F258,DinnerTable[],3,FALSE),0)) + (E259 * IFERROR(VLOOKUP(F259,DinnerTable[],3,FALSE),0)) + (E260 * IFERROR(VLOOKUP(F260,DinnerTable[],3,FALSE),0)) + (E261 * IFERROR(VLOOKUP(F261,DinnerTable[],3,FALSE),0))</f>
        <v>38.1</v>
      </c>
      <c r="P257" s="54">
        <f>(E258 * IFERROR(VLOOKUP(F258,DinnerTable[],4,FALSE),0)) + (E259 * IFERROR(VLOOKUP(F259,DinnerTable[],4,FALSE),0)) + (E260 * IFERROR(VLOOKUP(F260,DinnerTable[],4,FALSE),0)) + (E261 * IFERROR(VLOOKUP(F261,DinnerTable[],4,FALSE),0))</f>
        <v>108.8</v>
      </c>
    </row>
    <row r="258" spans="1:16" ht="15.75" thickTop="1" x14ac:dyDescent="0.25">
      <c r="A258" s="17">
        <v>1</v>
      </c>
      <c r="B258" s="17" t="s">
        <v>105</v>
      </c>
      <c r="C258" s="17"/>
      <c r="D258" s="17"/>
      <c r="E258" s="17">
        <v>0.75</v>
      </c>
      <c r="F258" s="17" t="s">
        <v>79</v>
      </c>
      <c r="G258" s="17"/>
      <c r="H258" s="17"/>
      <c r="I258" s="2">
        <v>5.6</v>
      </c>
      <c r="J258" s="2">
        <v>14</v>
      </c>
      <c r="K258" s="2">
        <v>1.3</v>
      </c>
      <c r="L258" s="51"/>
      <c r="M258" s="54" t="s">
        <v>35</v>
      </c>
      <c r="N258" s="54">
        <f>(G258 * IFERROR(VLOOKUP(H258,PostWorkoutTable[],2,FALSE),0)) + (G259 * IFERROR(VLOOKUP(H259,PostWorkoutTable[],2,FALSE),0)) + (G260 * IFERROR(VLOOKUP(H260,PostWorkoutTable[],2,FALSE),0)) + (G261 * IFERROR(VLOOKUP(H261,PostWorkoutTable[],2,FALSE),0))</f>
        <v>0</v>
      </c>
      <c r="O258" s="54">
        <f>(G258 * IFERROR(VLOOKUP(H258,PostWorkoutTable[],3,FALSE),0)) + (G259 * IFERROR(VLOOKUP(H259,PostWorkoutTable[],3,FALSE),0)) + (G260 * IFERROR(VLOOKUP(H260,PostWorkoutTable[],3,FALSE),0)) + (G261 * IFERROR(VLOOKUP(H261,PostWorkoutTable[],3,FALSE),0))</f>
        <v>0</v>
      </c>
      <c r="P258" s="54">
        <f>(G258 * IFERROR(VLOOKUP(H258,PostWorkoutTable[],4,FALSE),0)) + (G259 * IFERROR(VLOOKUP(H259,PostWorkoutTable[],4,FALSE),0)) + (G260 * IFERROR(VLOOKUP(H260,PostWorkoutTable[],4,FALSE),0)) + (G261 * IFERROR(VLOOKUP(H261,PostWorkoutTable[],4,FALSE),0))</f>
        <v>0</v>
      </c>
    </row>
    <row r="259" spans="1:16" x14ac:dyDescent="0.25">
      <c r="A259" s="17">
        <v>1</v>
      </c>
      <c r="B259" s="17" t="s">
        <v>27</v>
      </c>
      <c r="C259" s="17"/>
      <c r="D259" s="17"/>
      <c r="E259" s="17">
        <v>1</v>
      </c>
      <c r="F259" s="17" t="s">
        <v>91</v>
      </c>
      <c r="G259" s="17"/>
      <c r="H259" s="17"/>
      <c r="I259" s="2">
        <v>5.0999999999999996</v>
      </c>
      <c r="J259" s="2">
        <v>2</v>
      </c>
      <c r="K259" s="2">
        <v>26</v>
      </c>
      <c r="L259" s="51"/>
      <c r="M259" s="54" t="s">
        <v>21</v>
      </c>
      <c r="N259" s="54">
        <f xml:space="preserve"> SUM(I258:I261)</f>
        <v>14.6</v>
      </c>
      <c r="O259" s="54">
        <f>SUM(J258:J261)</f>
        <v>40.4</v>
      </c>
      <c r="P259" s="54">
        <f>SUM(K258:K261)</f>
        <v>110.8</v>
      </c>
    </row>
    <row r="260" spans="1:16" x14ac:dyDescent="0.25">
      <c r="A260" s="17"/>
      <c r="B260" s="17"/>
      <c r="C260" s="17"/>
      <c r="D260" s="17"/>
      <c r="E260" s="17">
        <v>0.5</v>
      </c>
      <c r="F260" s="17" t="s">
        <v>45</v>
      </c>
      <c r="G260" s="17"/>
      <c r="H260" s="17"/>
      <c r="I260" s="2">
        <v>2</v>
      </c>
      <c r="J260" s="2">
        <v>24</v>
      </c>
      <c r="K260" s="2">
        <v>8.5</v>
      </c>
      <c r="L260" s="51"/>
      <c r="M260" s="54" t="s">
        <v>38</v>
      </c>
      <c r="N260" s="54">
        <f>SUM(N255:N259)</f>
        <v>88.699999999999989</v>
      </c>
      <c r="O260" s="54">
        <f>SUM(O255:O259)</f>
        <v>89</v>
      </c>
      <c r="P260" s="54">
        <f>SUM(P255:P259)</f>
        <v>274.89999999999998</v>
      </c>
    </row>
    <row r="261" spans="1:16" x14ac:dyDescent="0.25">
      <c r="A261" s="17"/>
      <c r="B261" s="17"/>
      <c r="C261" s="17"/>
      <c r="D261" s="17"/>
      <c r="E261" s="17">
        <v>0.5</v>
      </c>
      <c r="F261" s="17" t="s">
        <v>92</v>
      </c>
      <c r="G261" s="17"/>
      <c r="H261" s="17"/>
      <c r="I261" s="2">
        <v>1.9</v>
      </c>
      <c r="J261" s="2">
        <v>0.4</v>
      </c>
      <c r="K261" s="2">
        <v>75</v>
      </c>
      <c r="L261" s="51"/>
      <c r="M261" s="51"/>
      <c r="N261" s="51"/>
      <c r="O261" s="51"/>
      <c r="P261" s="51"/>
    </row>
    <row r="262" spans="1:16" x14ac:dyDescent="0.25">
      <c r="A262" s="51"/>
      <c r="B262" s="51"/>
      <c r="C262" s="51"/>
      <c r="D262" s="51"/>
      <c r="E262" s="51"/>
      <c r="F262" s="51"/>
      <c r="G262" s="51"/>
      <c r="H262" s="51"/>
      <c r="I262" s="51">
        <f>SUM(I258:I261)</f>
        <v>14.6</v>
      </c>
      <c r="J262" s="51">
        <f>SUM(J258:J261)</f>
        <v>40.4</v>
      </c>
      <c r="K262" s="51">
        <f>SUM(K258:K261)</f>
        <v>110.8</v>
      </c>
      <c r="L262" s="51"/>
      <c r="M262" s="51"/>
      <c r="N262" s="51"/>
      <c r="O262" s="51"/>
      <c r="P262" s="51"/>
    </row>
    <row r="263" spans="1:16" ht="23.25" x14ac:dyDescent="0.35">
      <c r="A263" s="56">
        <v>43582</v>
      </c>
      <c r="B263" s="55"/>
      <c r="C263" s="55"/>
      <c r="D263" s="55"/>
      <c r="E263" s="55"/>
      <c r="F263" s="51"/>
      <c r="G263" s="51"/>
      <c r="H263" s="51"/>
      <c r="I263" s="51"/>
      <c r="J263" s="51"/>
      <c r="K263" s="51"/>
      <c r="L263" s="51"/>
      <c r="M263" s="51"/>
      <c r="N263" s="51"/>
      <c r="O263" s="51"/>
      <c r="P263" s="51"/>
    </row>
    <row r="264" spans="1:16" ht="18" thickBot="1" x14ac:dyDescent="0.35">
      <c r="A264" s="3" t="s">
        <v>48</v>
      </c>
      <c r="B264" s="3" t="s">
        <v>0</v>
      </c>
      <c r="C264" s="3" t="s">
        <v>36</v>
      </c>
      <c r="D264" s="3" t="s">
        <v>8</v>
      </c>
      <c r="E264" s="5" t="s">
        <v>9</v>
      </c>
      <c r="F264" s="5" t="s">
        <v>10</v>
      </c>
      <c r="G264" s="52"/>
      <c r="H264" s="53"/>
      <c r="I264" s="51"/>
      <c r="J264" s="51"/>
      <c r="K264" s="51"/>
      <c r="L264" s="51"/>
      <c r="M264" s="52"/>
      <c r="N264" s="54" t="s">
        <v>8</v>
      </c>
      <c r="O264" s="54" t="s">
        <v>9</v>
      </c>
      <c r="P264" s="54" t="s">
        <v>10</v>
      </c>
    </row>
    <row r="265" spans="1:16" ht="15.75" thickTop="1" x14ac:dyDescent="0.25">
      <c r="A265" s="18">
        <v>43577</v>
      </c>
      <c r="B265" s="16">
        <f>IFERROR(VLOOKUP(A265,OverviewTable[],2,FALSE),"?")</f>
        <v>132.19999999999999</v>
      </c>
      <c r="C265" s="16" t="str">
        <f>((N270 * 4) + (O270 * 9) + (P270 * 4))&amp;"/"&amp;IFERROR(VLOOKUP(A265,OverviewTable[],11,FALSE),"?")</f>
        <v>2751.73/2365.2</v>
      </c>
      <c r="D265" s="16" t="str">
        <f>N270&amp;"/"&amp;IFERROR(VLOOKUP(A265,OverviewTable[],12,FALSE),"?")</f>
        <v>146.17/132</v>
      </c>
      <c r="E265" s="16" t="str">
        <f>O270&amp;"/"&amp;IFERROR(VLOOKUP(A265,OverviewTable[],13,FALSE),"?")</f>
        <v>122.45/66</v>
      </c>
      <c r="F265" s="16" t="str">
        <f>P270&amp;"/"&amp;IFERROR(VLOOKUP(A265,OverviewTable[],14,FALSE),"?")</f>
        <v>266.25/311</v>
      </c>
      <c r="G265" s="53"/>
      <c r="H265" s="53"/>
      <c r="I265" s="51"/>
      <c r="J265" s="51"/>
      <c r="K265" s="51"/>
      <c r="L265" s="51"/>
      <c r="M265" s="54" t="s">
        <v>6</v>
      </c>
      <c r="N265" s="54">
        <f>(A268 * IFERROR(VLOOKUP(B268,BreakfastTable[],2,FALSE),0)) + (A269 * IFERROR(VLOOKUP(B269,BreakfastTable[],2,FALSE),0)) + (A270 * IFERROR(VLOOKUP(B270,BreakfastTable[],2,FALSE),0)) + (A271 * IFERROR(VLOOKUP(B271,BreakfastTable[],2,FALSE),0))</f>
        <v>32.200000000000003</v>
      </c>
      <c r="O265" s="54">
        <f>(A268 * IFERROR(VLOOKUP(B268,BreakfastTable[],3,FALSE),0)) + (A269 * IFERROR(VLOOKUP(B269,BreakfastTable[],3,FALSE),0)) + (A270 * IFERROR(VLOOKUP(B270,BreakfastTable[],3,FALSE),0)) + (A271 * IFERROR(VLOOKUP(B271,BreakfastTable[],3,FALSE),0))</f>
        <v>14.7</v>
      </c>
      <c r="P265" s="54">
        <f>(A268 * IFERROR(VLOOKUP(B268,BreakfastTable[],4,FALSE),0)) + (A269 * IFERROR(VLOOKUP(B269,BreakfastTable[],4,FALSE),0)) + (A270 * IFERROR(VLOOKUP(B270,BreakfastTable[],4,FALSE),0)) + (A271 * IFERROR(VLOOKUP(B271,BreakfastTable[],4,FALSE),0))</f>
        <v>55.4</v>
      </c>
    </row>
    <row r="266" spans="1:16" x14ac:dyDescent="0.25">
      <c r="A266" s="17"/>
      <c r="B266" s="17"/>
      <c r="C266" s="17"/>
      <c r="D266" s="17"/>
      <c r="E266" s="17"/>
      <c r="F266" s="17"/>
      <c r="G266" s="53"/>
      <c r="H266" s="53"/>
      <c r="I266" s="51"/>
      <c r="J266" s="51"/>
      <c r="K266" s="51"/>
      <c r="L266" s="51"/>
      <c r="M266" s="54" t="s">
        <v>11</v>
      </c>
      <c r="N266" s="54">
        <f>(C268 * IFERROR(VLOOKUP(D268,LunchTable[],2,FALSE),0)) + (C269 * IFERROR(VLOOKUP(D269,LunchTable[],2,FALSE),0)) + (C270 * IFERROR(VLOOKUP(D270,LunchTable[],2,FALSE),0)) + (C271 * IFERROR(VLOOKUP(D271,LunchTable[],2,FALSE),0))</f>
        <v>0</v>
      </c>
      <c r="O266" s="54">
        <f>(C268 * IFERROR(VLOOKUP(D268,LunchTable[],3,FALSE),0)) + (C269 * IFERROR(VLOOKUP(D269,LunchTable[],3,FALSE),0)) + (C270 * IFERROR(VLOOKUP(D270,LunchTable[],3,FALSE),0)) + (C271 * IFERROR(VLOOKUP(D271,LunchTable[],3,FALSE),0))</f>
        <v>0</v>
      </c>
      <c r="P266" s="54">
        <f>(C268 * IFERROR(VLOOKUP(D268,LunchTable[],4,FALSE),0)) + (C269 * IFERROR(VLOOKUP(D269,LunchTable[],4,FALSE),0)) + (C270 * IFERROR(VLOOKUP(D270,LunchTable[],4,FALSE),0)) + (C271 * IFERROR(VLOOKUP(D271,LunchTable[],4,FALSE),0))</f>
        <v>0</v>
      </c>
    </row>
    <row r="267" spans="1:16" ht="18" thickBot="1" x14ac:dyDescent="0.35">
      <c r="A267" s="10" t="s">
        <v>34</v>
      </c>
      <c r="B267" s="11" t="s">
        <v>6</v>
      </c>
      <c r="C267" s="10" t="s">
        <v>34</v>
      </c>
      <c r="D267" s="11" t="s">
        <v>11</v>
      </c>
      <c r="E267" s="10" t="s">
        <v>34</v>
      </c>
      <c r="F267" s="11" t="s">
        <v>12</v>
      </c>
      <c r="G267" s="10" t="s">
        <v>34</v>
      </c>
      <c r="H267" s="12" t="s">
        <v>35</v>
      </c>
      <c r="I267" s="5" t="s">
        <v>41</v>
      </c>
      <c r="J267" s="5" t="s">
        <v>42</v>
      </c>
      <c r="K267" s="5" t="s">
        <v>43</v>
      </c>
      <c r="L267" s="51"/>
      <c r="M267" s="54" t="s">
        <v>12</v>
      </c>
      <c r="N267" s="54">
        <f>(E268 * IFERROR(VLOOKUP(F268,DinnerTable[],2,FALSE),0)) + (E269 * IFERROR(VLOOKUP(F269,DinnerTable[],2,FALSE),0)) + (E270 * IFERROR(VLOOKUP(F270,DinnerTable[],2,FALSE),0)) + (E271 * IFERROR(VLOOKUP(F271,DinnerTable[],2,FALSE),0))</f>
        <v>85.47</v>
      </c>
      <c r="O267" s="54">
        <f>(E268 * IFERROR(VLOOKUP(F268,DinnerTable[],3,FALSE),0)) + (E269 * IFERROR(VLOOKUP(F269,DinnerTable[],3,FALSE),0)) + (E270 * IFERROR(VLOOKUP(F270,DinnerTable[],3,FALSE),0)) + (E271 * IFERROR(VLOOKUP(F271,DinnerTable[],3,FALSE),0))</f>
        <v>53.75</v>
      </c>
      <c r="P267" s="54">
        <f>(E268 * IFERROR(VLOOKUP(F268,DinnerTable[],4,FALSE),0)) + (E269 * IFERROR(VLOOKUP(F269,DinnerTable[],4,FALSE),0)) + (E270 * IFERROR(VLOOKUP(F270,DinnerTable[],4,FALSE),0)) + (E271 * IFERROR(VLOOKUP(F271,DinnerTable[],4,FALSE),0))</f>
        <v>77.349999999999994</v>
      </c>
    </row>
    <row r="268" spans="1:16" ht="15.75" thickTop="1" x14ac:dyDescent="0.25">
      <c r="A268" s="17">
        <v>1</v>
      </c>
      <c r="B268" s="17" t="s">
        <v>97</v>
      </c>
      <c r="C268" s="17">
        <v>0.5</v>
      </c>
      <c r="D268" s="17"/>
      <c r="E268" s="17">
        <v>0.33</v>
      </c>
      <c r="F268" s="17" t="s">
        <v>32</v>
      </c>
      <c r="G268" s="17"/>
      <c r="H268" s="17"/>
      <c r="I268" s="2">
        <v>16</v>
      </c>
      <c r="J268" s="2">
        <v>30</v>
      </c>
      <c r="K268" s="2">
        <v>48</v>
      </c>
      <c r="L268" s="51"/>
      <c r="M268" s="54" t="s">
        <v>35</v>
      </c>
      <c r="N268" s="54">
        <f>(G268 * IFERROR(VLOOKUP(H268,PostWorkoutTable[],2,FALSE),0)) + (G269 * IFERROR(VLOOKUP(H269,PostWorkoutTable[],2,FALSE),0)) + (G270 * IFERROR(VLOOKUP(H270,PostWorkoutTable[],2,FALSE),0)) + (G271 * IFERROR(VLOOKUP(H271,PostWorkoutTable[],2,FALSE),0))</f>
        <v>0</v>
      </c>
      <c r="O268" s="54">
        <f>(G268 * IFERROR(VLOOKUP(H268,PostWorkoutTable[],3,FALSE),0)) + (G269 * IFERROR(VLOOKUP(H269,PostWorkoutTable[],3,FALSE),0)) + (G270 * IFERROR(VLOOKUP(H270,PostWorkoutTable[],3,FALSE),0)) + (G271 * IFERROR(VLOOKUP(H271,PostWorkoutTable[],3,FALSE),0))</f>
        <v>0</v>
      </c>
      <c r="P268" s="54">
        <f>(G268 * IFERROR(VLOOKUP(H268,PostWorkoutTable[],4,FALSE),0)) + (G269 * IFERROR(VLOOKUP(H269,PostWorkoutTable[],4,FALSE),0)) + (G270 * IFERROR(VLOOKUP(H270,PostWorkoutTable[],4,FALSE),0)) + (G271 * IFERROR(VLOOKUP(H271,PostWorkoutTable[],4,FALSE),0))</f>
        <v>0</v>
      </c>
    </row>
    <row r="269" spans="1:16" x14ac:dyDescent="0.25">
      <c r="A269" s="17"/>
      <c r="B269" s="17"/>
      <c r="C269" s="17"/>
      <c r="D269" s="17"/>
      <c r="E269" s="17">
        <v>0.5</v>
      </c>
      <c r="F269" s="17" t="s">
        <v>53</v>
      </c>
      <c r="G269" s="17"/>
      <c r="H269" s="17"/>
      <c r="I269" s="2">
        <v>3</v>
      </c>
      <c r="J269" s="2">
        <v>17</v>
      </c>
      <c r="K269" s="2">
        <v>23</v>
      </c>
      <c r="L269" s="51"/>
      <c r="M269" s="54" t="s">
        <v>21</v>
      </c>
      <c r="N269" s="54">
        <f xml:space="preserve"> SUM(I268:I271)</f>
        <v>28.5</v>
      </c>
      <c r="O269" s="54">
        <f>SUM(J268:J271)</f>
        <v>54</v>
      </c>
      <c r="P269" s="54">
        <f>SUM(K268:K271)</f>
        <v>133.5</v>
      </c>
    </row>
    <row r="270" spans="1:16" x14ac:dyDescent="0.25">
      <c r="A270" s="17"/>
      <c r="B270" s="17"/>
      <c r="C270" s="17"/>
      <c r="D270" s="17"/>
      <c r="E270" s="17">
        <v>0.5</v>
      </c>
      <c r="F270" s="17" t="s">
        <v>28</v>
      </c>
      <c r="G270" s="17"/>
      <c r="H270" s="17"/>
      <c r="I270" s="2">
        <v>0</v>
      </c>
      <c r="J270" s="2">
        <v>0</v>
      </c>
      <c r="K270" s="2">
        <v>44</v>
      </c>
      <c r="L270" s="51"/>
      <c r="M270" s="54" t="s">
        <v>38</v>
      </c>
      <c r="N270" s="54">
        <f>SUM(N265:N269)</f>
        <v>146.17000000000002</v>
      </c>
      <c r="O270" s="54">
        <f>SUM(O265:O269)</f>
        <v>122.45</v>
      </c>
      <c r="P270" s="54">
        <f>SUM(P265:P269)</f>
        <v>266.25</v>
      </c>
    </row>
    <row r="271" spans="1:16" x14ac:dyDescent="0.25">
      <c r="A271" s="17"/>
      <c r="B271" s="17"/>
      <c r="C271" s="17"/>
      <c r="D271" s="17"/>
      <c r="E271" s="17"/>
      <c r="F271" s="17"/>
      <c r="G271" s="17"/>
      <c r="H271" s="17"/>
      <c r="I271" s="2">
        <v>9.5</v>
      </c>
      <c r="J271" s="2">
        <v>7</v>
      </c>
      <c r="K271" s="2">
        <v>18.5</v>
      </c>
      <c r="L271" s="51"/>
      <c r="M271" s="51"/>
      <c r="N271" s="51"/>
      <c r="O271" s="51"/>
      <c r="P271" s="51"/>
    </row>
    <row r="272" spans="1:16" x14ac:dyDescent="0.25">
      <c r="A272" s="51"/>
      <c r="B272" s="51"/>
      <c r="C272" s="51"/>
      <c r="D272" s="51"/>
      <c r="E272" s="51"/>
      <c r="F272" s="51"/>
      <c r="G272" s="51"/>
      <c r="H272" s="51"/>
      <c r="I272" s="51">
        <f>SUM(I268:I271)</f>
        <v>28.5</v>
      </c>
      <c r="J272" s="51">
        <f>SUM(J268:J271)</f>
        <v>54</v>
      </c>
      <c r="K272" s="51">
        <f>SUM(K268:K271)</f>
        <v>133.5</v>
      </c>
      <c r="L272" s="51"/>
      <c r="M272" s="51"/>
      <c r="N272" s="51"/>
      <c r="O272" s="51"/>
      <c r="P272" s="51"/>
    </row>
    <row r="273" spans="1:16" ht="23.25" x14ac:dyDescent="0.35">
      <c r="A273" s="56">
        <v>43583</v>
      </c>
      <c r="B273" s="55"/>
      <c r="C273" s="55"/>
      <c r="D273" s="55"/>
      <c r="E273" s="55"/>
      <c r="F273" s="51"/>
      <c r="G273" s="51"/>
      <c r="H273" s="51"/>
      <c r="I273" s="51"/>
      <c r="J273" s="51"/>
      <c r="K273" s="51"/>
      <c r="L273" s="51"/>
      <c r="M273" s="51"/>
      <c r="N273" s="51"/>
      <c r="O273" s="51"/>
      <c r="P273" s="51"/>
    </row>
    <row r="274" spans="1:16" ht="18" thickBot="1" x14ac:dyDescent="0.35">
      <c r="A274" s="3" t="s">
        <v>48</v>
      </c>
      <c r="B274" s="3" t="s">
        <v>0</v>
      </c>
      <c r="C274" s="3" t="s">
        <v>36</v>
      </c>
      <c r="D274" s="3" t="s">
        <v>8</v>
      </c>
      <c r="E274" s="5" t="s">
        <v>9</v>
      </c>
      <c r="F274" s="5" t="s">
        <v>10</v>
      </c>
      <c r="G274" s="52"/>
      <c r="H274" s="53"/>
      <c r="I274" s="51"/>
      <c r="J274" s="51"/>
      <c r="K274" s="51"/>
      <c r="L274" s="51"/>
      <c r="M274" s="52"/>
      <c r="N274" s="54" t="s">
        <v>8</v>
      </c>
      <c r="O274" s="54" t="s">
        <v>9</v>
      </c>
      <c r="P274" s="54" t="s">
        <v>10</v>
      </c>
    </row>
    <row r="275" spans="1:16" ht="15.75" thickTop="1" x14ac:dyDescent="0.25">
      <c r="A275" s="18">
        <v>43577</v>
      </c>
      <c r="B275" s="16">
        <f>IFERROR(VLOOKUP(A275,OverviewTable[],2,FALSE),"?")</f>
        <v>132.19999999999999</v>
      </c>
      <c r="C275" s="16" t="str">
        <f>((N280 * 4) + (O280 * 9) + (P280 * 4))&amp;"/"&amp;IFERROR(VLOOKUP(A275,OverviewTable[],11,FALSE),"?")</f>
        <v>2387.4/2365.2</v>
      </c>
      <c r="D275" s="16" t="str">
        <f>N280&amp;"/"&amp;IFERROR(VLOOKUP(A275,OverviewTable[],12,FALSE),"?")</f>
        <v>80.6/132</v>
      </c>
      <c r="E275" s="16" t="str">
        <f>O280&amp;"/"&amp;IFERROR(VLOOKUP(A275,OverviewTable[],13,FALSE),"?")</f>
        <v>119/66</v>
      </c>
      <c r="F275" s="16" t="str">
        <f>P280&amp;"/"&amp;IFERROR(VLOOKUP(A275,OverviewTable[],14,FALSE),"?")</f>
        <v>248.5/311</v>
      </c>
      <c r="G275" s="53"/>
      <c r="H275" s="53"/>
      <c r="I275" s="51"/>
      <c r="J275" s="51"/>
      <c r="K275" s="51"/>
      <c r="L275" s="51"/>
      <c r="M275" s="54" t="s">
        <v>6</v>
      </c>
      <c r="N275" s="54">
        <f>(A278 * IFERROR(VLOOKUP(B278,BreakfastTable[],2,FALSE),0)) + (A279 * IFERROR(VLOOKUP(B279,BreakfastTable[],2,FALSE),0)) + (A280 * IFERROR(VLOOKUP(B280,BreakfastTable[],2,FALSE),0)) + (A281 * IFERROR(VLOOKUP(B281,BreakfastTable[],2,FALSE),0))</f>
        <v>0</v>
      </c>
      <c r="O275" s="54">
        <f>(A278 * IFERROR(VLOOKUP(B278,BreakfastTable[],3,FALSE),0)) + (A279 * IFERROR(VLOOKUP(B279,BreakfastTable[],3,FALSE),0)) + (A280 * IFERROR(VLOOKUP(B280,BreakfastTable[],3,FALSE),0)) + (A281 * IFERROR(VLOOKUP(B281,BreakfastTable[],3,FALSE),0))</f>
        <v>0</v>
      </c>
      <c r="P275" s="54">
        <f>(A278 * IFERROR(VLOOKUP(B278,BreakfastTable[],4,FALSE),0)) + (A279 * IFERROR(VLOOKUP(B279,BreakfastTable[],4,FALSE),0)) + (A280 * IFERROR(VLOOKUP(B280,BreakfastTable[],4,FALSE),0)) + (A281 * IFERROR(VLOOKUP(B281,BreakfastTable[],4,FALSE),0))</f>
        <v>0</v>
      </c>
    </row>
    <row r="276" spans="1:16" x14ac:dyDescent="0.25">
      <c r="A276" s="17"/>
      <c r="B276" s="17"/>
      <c r="C276" s="17"/>
      <c r="D276" s="17"/>
      <c r="E276" s="17"/>
      <c r="F276" s="17"/>
      <c r="G276" s="53"/>
      <c r="H276" s="53"/>
      <c r="I276" s="51"/>
      <c r="J276" s="51"/>
      <c r="K276" s="51"/>
      <c r="L276" s="51"/>
      <c r="M276" s="54" t="s">
        <v>11</v>
      </c>
      <c r="N276" s="54">
        <f>(C278 * IFERROR(VLOOKUP(D278,LunchTable[],2,FALSE),0)) + (C279 * IFERROR(VLOOKUP(D279,LunchTable[],2,FALSE),0)) + (C280 * IFERROR(VLOOKUP(D280,LunchTable[],2,FALSE),0)) + (C281 * IFERROR(VLOOKUP(D281,LunchTable[],2,FALSE),0))</f>
        <v>35</v>
      </c>
      <c r="O276" s="54">
        <f>(C278 * IFERROR(VLOOKUP(D278,LunchTable[],3,FALSE),0)) + (C279 * IFERROR(VLOOKUP(D279,LunchTable[],3,FALSE),0)) + (C280 * IFERROR(VLOOKUP(D280,LunchTable[],3,FALSE),0)) + (C281 * IFERROR(VLOOKUP(D281,LunchTable[],3,FALSE),0))</f>
        <v>50</v>
      </c>
      <c r="P276" s="54">
        <f>(C278 * IFERROR(VLOOKUP(D278,LunchTable[],4,FALSE),0)) + (C279 * IFERROR(VLOOKUP(D279,LunchTable[],4,FALSE),0)) + (C280 * IFERROR(VLOOKUP(D280,LunchTable[],4,FALSE),0)) + (C281 * IFERROR(VLOOKUP(D281,LunchTable[],4,FALSE),0))</f>
        <v>60</v>
      </c>
    </row>
    <row r="277" spans="1:16" ht="18" thickBot="1" x14ac:dyDescent="0.35">
      <c r="A277" s="10" t="s">
        <v>34</v>
      </c>
      <c r="B277" s="11" t="s">
        <v>6</v>
      </c>
      <c r="C277" s="10" t="s">
        <v>34</v>
      </c>
      <c r="D277" s="11" t="s">
        <v>11</v>
      </c>
      <c r="E277" s="10" t="s">
        <v>34</v>
      </c>
      <c r="F277" s="11" t="s">
        <v>12</v>
      </c>
      <c r="G277" s="10" t="s">
        <v>34</v>
      </c>
      <c r="H277" s="12" t="s">
        <v>35</v>
      </c>
      <c r="I277" s="5" t="s">
        <v>41</v>
      </c>
      <c r="J277" s="5" t="s">
        <v>42</v>
      </c>
      <c r="K277" s="5" t="s">
        <v>43</v>
      </c>
      <c r="L277" s="51"/>
      <c r="M277" s="54" t="s">
        <v>12</v>
      </c>
      <c r="N277" s="54">
        <f>(E278 * IFERROR(VLOOKUP(F278,DinnerTable[],2,FALSE),0)) + (E279 * IFERROR(VLOOKUP(F279,DinnerTable[],2,FALSE),0)) + (E280 * IFERROR(VLOOKUP(F280,DinnerTable[],2,FALSE),0)) + (E281 * IFERROR(VLOOKUP(F281,DinnerTable[],2,FALSE),0))</f>
        <v>0</v>
      </c>
      <c r="O277" s="54">
        <f>(E278 * IFERROR(VLOOKUP(F278,DinnerTable[],3,FALSE),0)) + (E279 * IFERROR(VLOOKUP(F279,DinnerTable[],3,FALSE),0)) + (E280 * IFERROR(VLOOKUP(F280,DinnerTable[],3,FALSE),0)) + (E281 * IFERROR(VLOOKUP(F281,DinnerTable[],3,FALSE),0))</f>
        <v>0</v>
      </c>
      <c r="P277" s="54">
        <f>(E278 * IFERROR(VLOOKUP(F278,DinnerTable[],4,FALSE),0)) + (E279 * IFERROR(VLOOKUP(F279,DinnerTable[],4,FALSE),0)) + (E280 * IFERROR(VLOOKUP(F280,DinnerTable[],4,FALSE),0)) + (E281 * IFERROR(VLOOKUP(F281,DinnerTable[],4,FALSE),0))</f>
        <v>0</v>
      </c>
    </row>
    <row r="278" spans="1:16" ht="15.75" thickTop="1" x14ac:dyDescent="0.25">
      <c r="A278" s="17"/>
      <c r="B278" s="17"/>
      <c r="C278" s="17">
        <v>0.5</v>
      </c>
      <c r="D278" s="17" t="s">
        <v>28</v>
      </c>
      <c r="E278" s="17"/>
      <c r="F278" s="17"/>
      <c r="G278" s="17"/>
      <c r="H278" s="17"/>
      <c r="I278" s="2">
        <v>10</v>
      </c>
      <c r="J278" s="2">
        <v>32</v>
      </c>
      <c r="K278" s="2">
        <v>22</v>
      </c>
      <c r="L278" s="51"/>
      <c r="M278" s="54" t="s">
        <v>35</v>
      </c>
      <c r="N278" s="54">
        <f>(G278 * IFERROR(VLOOKUP(H278,PostWorkoutTable[],2,FALSE),0)) + (G279 * IFERROR(VLOOKUP(H279,PostWorkoutTable[],2,FALSE),0)) + (G280 * IFERROR(VLOOKUP(H280,PostWorkoutTable[],2,FALSE),0)) + (G281 * IFERROR(VLOOKUP(H281,PostWorkoutTable[],2,FALSE),0))</f>
        <v>0</v>
      </c>
      <c r="O278" s="54">
        <f>(G278 * IFERROR(VLOOKUP(H278,PostWorkoutTable[],3,FALSE),0)) + (G279 * IFERROR(VLOOKUP(H279,PostWorkoutTable[],3,FALSE),0)) + (G280 * IFERROR(VLOOKUP(H280,PostWorkoutTable[],3,FALSE),0)) + (G281 * IFERROR(VLOOKUP(H281,PostWorkoutTable[],3,FALSE),0))</f>
        <v>0</v>
      </c>
      <c r="P278" s="54">
        <f>(G278 * IFERROR(VLOOKUP(H278,PostWorkoutTable[],4,FALSE),0)) + (G279 * IFERROR(VLOOKUP(H279,PostWorkoutTable[],4,FALSE),0)) + (G280 * IFERROR(VLOOKUP(H280,PostWorkoutTable[],4,FALSE),0)) + (G281 * IFERROR(VLOOKUP(H281,PostWorkoutTable[],4,FALSE),0))</f>
        <v>0</v>
      </c>
    </row>
    <row r="279" spans="1:16" x14ac:dyDescent="0.25">
      <c r="A279" s="17"/>
      <c r="B279" s="17"/>
      <c r="C279" s="17"/>
      <c r="D279" s="17"/>
      <c r="E279" s="17"/>
      <c r="F279" s="17"/>
      <c r="G279" s="17"/>
      <c r="H279" s="17"/>
      <c r="I279" s="2">
        <v>0.1</v>
      </c>
      <c r="J279" s="2">
        <v>0</v>
      </c>
      <c r="K279" s="2">
        <v>51</v>
      </c>
      <c r="L279" s="51"/>
      <c r="M279" s="54" t="s">
        <v>21</v>
      </c>
      <c r="N279" s="54">
        <f xml:space="preserve"> SUM(I278:I281)</f>
        <v>45.6</v>
      </c>
      <c r="O279" s="54">
        <f>SUM(J278:J281)</f>
        <v>69</v>
      </c>
      <c r="P279" s="54">
        <f>SUM(K278:K281)</f>
        <v>188.5</v>
      </c>
    </row>
    <row r="280" spans="1:16" x14ac:dyDescent="0.25">
      <c r="A280" s="17"/>
      <c r="B280" s="17"/>
      <c r="C280" s="17"/>
      <c r="D280" s="17"/>
      <c r="E280" s="17"/>
      <c r="F280" s="17"/>
      <c r="G280" s="17"/>
      <c r="H280" s="17"/>
      <c r="I280" s="2">
        <v>21.5</v>
      </c>
      <c r="J280" s="2">
        <v>25</v>
      </c>
      <c r="K280" s="2">
        <v>19.5</v>
      </c>
      <c r="L280" s="51"/>
      <c r="M280" s="54" t="s">
        <v>38</v>
      </c>
      <c r="N280" s="54">
        <f>SUM(N275:N279)</f>
        <v>80.599999999999994</v>
      </c>
      <c r="O280" s="54">
        <f>SUM(O275:O279)</f>
        <v>119</v>
      </c>
      <c r="P280" s="54">
        <f>SUM(P275:P279)</f>
        <v>248.5</v>
      </c>
    </row>
    <row r="281" spans="1:16" x14ac:dyDescent="0.25">
      <c r="A281" s="17"/>
      <c r="B281" s="17"/>
      <c r="C281" s="17"/>
      <c r="D281" s="17"/>
      <c r="E281" s="17"/>
      <c r="F281" s="17"/>
      <c r="G281" s="17"/>
      <c r="H281" s="17"/>
      <c r="I281" s="2">
        <v>14</v>
      </c>
      <c r="J281" s="2">
        <v>12</v>
      </c>
      <c r="K281" s="2">
        <v>96</v>
      </c>
      <c r="L281" s="51"/>
      <c r="M281" s="51"/>
      <c r="N281" s="51"/>
      <c r="O281" s="51"/>
      <c r="P281" s="51"/>
    </row>
    <row r="282" spans="1:16" x14ac:dyDescent="0.25">
      <c r="A282" s="51"/>
      <c r="B282" s="51"/>
      <c r="C282" s="51"/>
      <c r="D282" s="51"/>
      <c r="E282" s="51"/>
      <c r="F282" s="51"/>
      <c r="G282" s="51"/>
      <c r="H282" s="51"/>
      <c r="I282" s="51">
        <f>SUM(I278:I281)</f>
        <v>45.6</v>
      </c>
      <c r="J282" s="51">
        <f>SUM(J278:J281)</f>
        <v>69</v>
      </c>
      <c r="K282" s="51">
        <f>SUM(K278:K281)</f>
        <v>188.5</v>
      </c>
      <c r="L282" s="51"/>
      <c r="M282" s="51"/>
      <c r="N282" s="51"/>
      <c r="O282" s="51"/>
      <c r="P282" s="51"/>
    </row>
    <row r="283" spans="1:16" ht="23.25" x14ac:dyDescent="0.35">
      <c r="A283" s="56">
        <v>43584</v>
      </c>
      <c r="B283" s="55"/>
      <c r="C283" s="55"/>
      <c r="D283" s="55"/>
      <c r="E283" s="55"/>
      <c r="F283" s="51"/>
      <c r="G283" s="51"/>
      <c r="H283" s="51"/>
      <c r="I283" s="51"/>
      <c r="J283" s="51"/>
      <c r="K283" s="51"/>
      <c r="L283" s="51"/>
      <c r="M283" s="51"/>
      <c r="N283" s="51"/>
      <c r="O283" s="51"/>
      <c r="P283" s="51"/>
    </row>
    <row r="284" spans="1:16" ht="18" thickBot="1" x14ac:dyDescent="0.35">
      <c r="A284" s="3" t="s">
        <v>48</v>
      </c>
      <c r="B284" s="3" t="s">
        <v>0</v>
      </c>
      <c r="C284" s="3" t="s">
        <v>36</v>
      </c>
      <c r="D284" s="3" t="s">
        <v>8</v>
      </c>
      <c r="E284" s="5" t="s">
        <v>9</v>
      </c>
      <c r="F284" s="5" t="s">
        <v>10</v>
      </c>
      <c r="G284" s="52"/>
      <c r="H284" s="53"/>
      <c r="I284" s="51"/>
      <c r="J284" s="51"/>
      <c r="K284" s="51"/>
      <c r="L284" s="51"/>
      <c r="M284" s="52"/>
      <c r="N284" s="54" t="s">
        <v>8</v>
      </c>
      <c r="O284" s="54" t="s">
        <v>9</v>
      </c>
      <c r="P284" s="54" t="s">
        <v>10</v>
      </c>
    </row>
    <row r="285" spans="1:16" ht="15.75" thickTop="1" x14ac:dyDescent="0.25">
      <c r="A285" s="18">
        <v>43584</v>
      </c>
      <c r="B285" s="16">
        <f>IFERROR(VLOOKUP(A285,OverviewTable[],2,FALSE),"?")</f>
        <v>131.4</v>
      </c>
      <c r="C285" s="16" t="str">
        <f>((N290 * 4) + (O290 * 9) + (P290 * 4))&amp;"/"&amp;IFERROR(VLOOKUP(A285,OverviewTable[],11,FALSE),"?")</f>
        <v>2188/2352.4</v>
      </c>
      <c r="D285" s="16" t="str">
        <f>N290&amp;"/"&amp;IFERROR(VLOOKUP(A285,OverviewTable[],12,FALSE),"?")</f>
        <v>117.5/131</v>
      </c>
      <c r="E285" s="16" t="str">
        <f>O290&amp;"/"&amp;IFERROR(VLOOKUP(A285,OverviewTable[],13,FALSE),"?")</f>
        <v>84/65</v>
      </c>
      <c r="F285" s="16" t="str">
        <f>P290&amp;"/"&amp;IFERROR(VLOOKUP(A285,OverviewTable[],14,FALSE),"?")</f>
        <v>240.5/311</v>
      </c>
      <c r="G285" s="53"/>
      <c r="H285" s="53"/>
      <c r="I285" s="51"/>
      <c r="J285" s="51"/>
      <c r="K285" s="51"/>
      <c r="L285" s="51"/>
      <c r="M285" s="54" t="s">
        <v>6</v>
      </c>
      <c r="N285" s="54">
        <f>(A288 * IFERROR(VLOOKUP(B288,BreakfastTable[],2,FALSE),0)) + (A289 * IFERROR(VLOOKUP(B289,BreakfastTable[],2,FALSE),0)) + (A290 * IFERROR(VLOOKUP(B290,BreakfastTable[],2,FALSE),0)) + (A291 * IFERROR(VLOOKUP(B291,BreakfastTable[],2,FALSE),0))</f>
        <v>0</v>
      </c>
      <c r="O285" s="54">
        <f>(A288 * IFERROR(VLOOKUP(B288,BreakfastTable[],3,FALSE),0)) + (A289 * IFERROR(VLOOKUP(B289,BreakfastTable[],3,FALSE),0)) + (A290 * IFERROR(VLOOKUP(B290,BreakfastTable[],3,FALSE),0)) + (A291 * IFERROR(VLOOKUP(B291,BreakfastTable[],3,FALSE),0))</f>
        <v>0</v>
      </c>
      <c r="P285" s="54">
        <f>(A288 * IFERROR(VLOOKUP(B288,BreakfastTable[],4,FALSE),0)) + (A289 * IFERROR(VLOOKUP(B289,BreakfastTable[],4,FALSE),0)) + (A290 * IFERROR(VLOOKUP(B290,BreakfastTable[],4,FALSE),0)) + (A291 * IFERROR(VLOOKUP(B291,BreakfastTable[],4,FALSE),0))</f>
        <v>0</v>
      </c>
    </row>
    <row r="286" spans="1:16" x14ac:dyDescent="0.25">
      <c r="A286" s="17"/>
      <c r="B286" s="17"/>
      <c r="C286" s="17"/>
      <c r="D286" s="17"/>
      <c r="E286" s="17"/>
      <c r="F286" s="17"/>
      <c r="G286" s="53"/>
      <c r="H286" s="53"/>
      <c r="I286" s="51"/>
      <c r="J286" s="51"/>
      <c r="K286" s="51"/>
      <c r="L286" s="51"/>
      <c r="M286" s="54" t="s">
        <v>11</v>
      </c>
      <c r="N286" s="54">
        <f>(C288 * IFERROR(VLOOKUP(D288,LunchTable[],2,FALSE),0)) + (C289 * IFERROR(VLOOKUP(D289,LunchTable[],2,FALSE),0)) + (C290 * IFERROR(VLOOKUP(D290,LunchTable[],2,FALSE),0)) + (C291 * IFERROR(VLOOKUP(D291,LunchTable[],2,FALSE),0))</f>
        <v>0</v>
      </c>
      <c r="O286" s="54">
        <f>(C288 * IFERROR(VLOOKUP(D288,LunchTable[],3,FALSE),0)) + (C289 * IFERROR(VLOOKUP(D289,LunchTable[],3,FALSE),0)) + (C290 * IFERROR(VLOOKUP(D290,LunchTable[],3,FALSE),0)) + (C291 * IFERROR(VLOOKUP(D291,LunchTable[],3,FALSE),0))</f>
        <v>0</v>
      </c>
      <c r="P286" s="54">
        <f>(C288 * IFERROR(VLOOKUP(D288,LunchTable[],4,FALSE),0)) + (C289 * IFERROR(VLOOKUP(D289,LunchTable[],4,FALSE),0)) + (C290 * IFERROR(VLOOKUP(D290,LunchTable[],4,FALSE),0)) + (C291 * IFERROR(VLOOKUP(D291,LunchTable[],4,FALSE),0))</f>
        <v>0</v>
      </c>
    </row>
    <row r="287" spans="1:16" ht="18" thickBot="1" x14ac:dyDescent="0.35">
      <c r="A287" s="10" t="s">
        <v>34</v>
      </c>
      <c r="B287" s="11" t="s">
        <v>6</v>
      </c>
      <c r="C287" s="10" t="s">
        <v>34</v>
      </c>
      <c r="D287" s="11" t="s">
        <v>11</v>
      </c>
      <c r="E287" s="10" t="s">
        <v>34</v>
      </c>
      <c r="F287" s="11" t="s">
        <v>12</v>
      </c>
      <c r="G287" s="10" t="s">
        <v>34</v>
      </c>
      <c r="H287" s="12" t="s">
        <v>35</v>
      </c>
      <c r="I287" s="5" t="s">
        <v>41</v>
      </c>
      <c r="J287" s="5" t="s">
        <v>42</v>
      </c>
      <c r="K287" s="5" t="s">
        <v>43</v>
      </c>
      <c r="L287" s="51"/>
      <c r="M287" s="54" t="s">
        <v>12</v>
      </c>
      <c r="N287" s="54">
        <f>(E288 * IFERROR(VLOOKUP(F288,DinnerTable[],2,FALSE),0)) + (E289 * IFERROR(VLOOKUP(F289,DinnerTable[],2,FALSE),0)) + (E290 * IFERROR(VLOOKUP(F290,DinnerTable[],2,FALSE),0)) + (E291 * IFERROR(VLOOKUP(F291,DinnerTable[],2,FALSE),0))</f>
        <v>55</v>
      </c>
      <c r="O287" s="54">
        <f>(E288 * IFERROR(VLOOKUP(F288,DinnerTable[],3,FALSE),0)) + (E289 * IFERROR(VLOOKUP(F289,DinnerTable[],3,FALSE),0)) + (E290 * IFERROR(VLOOKUP(F290,DinnerTable[],3,FALSE),0)) + (E291 * IFERROR(VLOOKUP(F291,DinnerTable[],3,FALSE),0))</f>
        <v>22</v>
      </c>
      <c r="P287" s="54">
        <f>(E288 * IFERROR(VLOOKUP(F288,DinnerTable[],4,FALSE),0)) + (E289 * IFERROR(VLOOKUP(F289,DinnerTable[],4,FALSE),0)) + (E290 * IFERROR(VLOOKUP(F290,DinnerTable[],4,FALSE),0)) + (E291 * IFERROR(VLOOKUP(F291,DinnerTable[],4,FALSE),0))</f>
        <v>168</v>
      </c>
    </row>
    <row r="288" spans="1:16" ht="15.75" thickTop="1" x14ac:dyDescent="0.25">
      <c r="A288" s="17"/>
      <c r="B288" s="17"/>
      <c r="C288" s="17"/>
      <c r="D288" s="17"/>
      <c r="E288" s="17">
        <v>1</v>
      </c>
      <c r="F288" s="17" t="s">
        <v>50</v>
      </c>
      <c r="G288" s="17"/>
      <c r="H288" s="17"/>
      <c r="I288" s="2">
        <v>21.5</v>
      </c>
      <c r="J288" s="2">
        <v>25</v>
      </c>
      <c r="K288" s="2">
        <v>19.5</v>
      </c>
      <c r="L288" s="51"/>
      <c r="M288" s="54" t="s">
        <v>35</v>
      </c>
      <c r="N288" s="54">
        <f>(G288 * IFERROR(VLOOKUP(H288,PostWorkoutTable[],2,FALSE),0)) + (G289 * IFERROR(VLOOKUP(H289,PostWorkoutTable[],2,FALSE),0)) + (G290 * IFERROR(VLOOKUP(H290,PostWorkoutTable[],2,FALSE),0)) + (G291 * IFERROR(VLOOKUP(H291,PostWorkoutTable[],2,FALSE),0))</f>
        <v>0</v>
      </c>
      <c r="O288" s="54">
        <f>(G288 * IFERROR(VLOOKUP(H288,PostWorkoutTable[],3,FALSE),0)) + (G289 * IFERROR(VLOOKUP(H289,PostWorkoutTable[],3,FALSE),0)) + (G290 * IFERROR(VLOOKUP(H290,PostWorkoutTable[],3,FALSE),0)) + (G291 * IFERROR(VLOOKUP(H291,PostWorkoutTable[],3,FALSE),0))</f>
        <v>0</v>
      </c>
      <c r="P288" s="54">
        <f>(G288 * IFERROR(VLOOKUP(H288,PostWorkoutTable[],4,FALSE),0)) + (G289 * IFERROR(VLOOKUP(H289,PostWorkoutTable[],4,FALSE),0)) + (G290 * IFERROR(VLOOKUP(H290,PostWorkoutTable[],4,FALSE),0)) + (G291 * IFERROR(VLOOKUP(H291,PostWorkoutTable[],4,FALSE),0))</f>
        <v>0</v>
      </c>
    </row>
    <row r="289" spans="1:16" x14ac:dyDescent="0.25">
      <c r="A289" s="17"/>
      <c r="B289" s="17"/>
      <c r="C289" s="17"/>
      <c r="D289" s="17"/>
      <c r="E289" s="17">
        <v>1</v>
      </c>
      <c r="F289" s="17" t="s">
        <v>65</v>
      </c>
      <c r="G289" s="17"/>
      <c r="H289" s="17"/>
      <c r="I289" s="2">
        <v>41</v>
      </c>
      <c r="J289" s="2">
        <v>37</v>
      </c>
      <c r="K289" s="2">
        <v>53</v>
      </c>
      <c r="L289" s="51"/>
      <c r="M289" s="54" t="s">
        <v>21</v>
      </c>
      <c r="N289" s="54">
        <f xml:space="preserve"> SUM(I288:I291)</f>
        <v>62.5</v>
      </c>
      <c r="O289" s="54">
        <f>SUM(J288:J291)</f>
        <v>62</v>
      </c>
      <c r="P289" s="54">
        <f>SUM(K288:K291)</f>
        <v>72.5</v>
      </c>
    </row>
    <row r="290" spans="1:16" x14ac:dyDescent="0.25">
      <c r="A290" s="17"/>
      <c r="B290" s="17"/>
      <c r="C290" s="17"/>
      <c r="D290" s="17"/>
      <c r="E290" s="17">
        <v>1</v>
      </c>
      <c r="F290" s="17" t="s">
        <v>66</v>
      </c>
      <c r="G290" s="17"/>
      <c r="H290" s="17"/>
      <c r="I290" s="2"/>
      <c r="J290" s="2"/>
      <c r="K290" s="2"/>
      <c r="L290" s="51"/>
      <c r="M290" s="54" t="s">
        <v>38</v>
      </c>
      <c r="N290" s="54">
        <f>SUM(N285:N289)</f>
        <v>117.5</v>
      </c>
      <c r="O290" s="54">
        <f>SUM(O285:O289)</f>
        <v>84</v>
      </c>
      <c r="P290" s="54">
        <f>SUM(P285:P289)</f>
        <v>240.5</v>
      </c>
    </row>
    <row r="291" spans="1:16" x14ac:dyDescent="0.25">
      <c r="A291" s="17"/>
      <c r="B291" s="17"/>
      <c r="C291" s="17"/>
      <c r="D291" s="17"/>
      <c r="E291" s="17">
        <v>1</v>
      </c>
      <c r="F291" s="17" t="s">
        <v>99</v>
      </c>
      <c r="G291" s="17"/>
      <c r="H291" s="17"/>
      <c r="I291" s="2"/>
      <c r="J291" s="2"/>
      <c r="K291" s="2"/>
      <c r="L291" s="51"/>
      <c r="M291" s="51"/>
      <c r="N291" s="51"/>
      <c r="O291" s="51"/>
      <c r="P291" s="51"/>
    </row>
    <row r="292" spans="1:16" x14ac:dyDescent="0.25">
      <c r="A292" s="51"/>
      <c r="B292" s="51"/>
      <c r="C292" s="51"/>
      <c r="D292" s="51"/>
      <c r="E292" s="51"/>
      <c r="F292" s="51"/>
      <c r="G292" s="51"/>
      <c r="H292" s="51"/>
      <c r="I292" s="51">
        <f>SUM(I288:I291)</f>
        <v>62.5</v>
      </c>
      <c r="J292" s="51">
        <f>SUM(J288:J291)</f>
        <v>62</v>
      </c>
      <c r="K292" s="51">
        <f>SUM(K288:K291)</f>
        <v>72.5</v>
      </c>
      <c r="L292" s="51"/>
      <c r="M292" s="51"/>
      <c r="N292" s="51"/>
      <c r="O292" s="51"/>
      <c r="P292" s="51"/>
    </row>
    <row r="293" spans="1:16" ht="23.25" x14ac:dyDescent="0.35">
      <c r="A293" s="56">
        <v>43585</v>
      </c>
      <c r="B293" s="55"/>
      <c r="C293" s="55"/>
      <c r="D293" s="55"/>
      <c r="E293" s="55"/>
      <c r="F293" s="51"/>
      <c r="G293" s="51"/>
      <c r="H293" s="51"/>
      <c r="I293" s="51"/>
      <c r="J293" s="51"/>
      <c r="K293" s="51"/>
      <c r="L293" s="51"/>
      <c r="M293" s="51"/>
      <c r="N293" s="51"/>
      <c r="O293" s="51"/>
      <c r="P293" s="51"/>
    </row>
    <row r="294" spans="1:16" ht="18" thickBot="1" x14ac:dyDescent="0.35">
      <c r="A294" s="3" t="s">
        <v>48</v>
      </c>
      <c r="B294" s="3" t="s">
        <v>0</v>
      </c>
      <c r="C294" s="3" t="s">
        <v>36</v>
      </c>
      <c r="D294" s="3" t="s">
        <v>8</v>
      </c>
      <c r="E294" s="5" t="s">
        <v>9</v>
      </c>
      <c r="F294" s="5" t="s">
        <v>10</v>
      </c>
      <c r="G294" s="52"/>
      <c r="H294" s="53"/>
      <c r="I294" s="51"/>
      <c r="J294" s="51"/>
      <c r="K294" s="51"/>
      <c r="L294" s="51"/>
      <c r="M294" s="52"/>
      <c r="N294" s="54" t="s">
        <v>8</v>
      </c>
      <c r="O294" s="54" t="s">
        <v>9</v>
      </c>
      <c r="P294" s="54" t="s">
        <v>10</v>
      </c>
    </row>
    <row r="295" spans="1:16" ht="15.75" thickTop="1" x14ac:dyDescent="0.25">
      <c r="A295" s="18">
        <v>43584</v>
      </c>
      <c r="B295" s="16">
        <f>IFERROR(VLOOKUP(A295,OverviewTable[],2,FALSE),"?")</f>
        <v>131.4</v>
      </c>
      <c r="C295" s="16" t="str">
        <f>((N300 * 4) + (O300 * 9) + (P300 * 4))&amp;"/"&amp;IFERROR(VLOOKUP(A295,OverviewTable[],11,FALSE),"?")</f>
        <v>2025.15/2352.4</v>
      </c>
      <c r="D295" s="16" t="str">
        <f>N300&amp;"/"&amp;IFERROR(VLOOKUP(A295,OverviewTable[],12,FALSE),"?")</f>
        <v>145.7/131</v>
      </c>
      <c r="E295" s="16" t="str">
        <f>O300&amp;"/"&amp;IFERROR(VLOOKUP(A295,OverviewTable[],13,FALSE),"?")</f>
        <v>62.75/65</v>
      </c>
      <c r="F295" s="16" t="str">
        <f>P300&amp;"/"&amp;IFERROR(VLOOKUP(A295,OverviewTable[],14,FALSE),"?")</f>
        <v>219.4/311</v>
      </c>
      <c r="G295" s="53"/>
      <c r="H295" s="53"/>
      <c r="I295" s="51"/>
      <c r="J295" s="51"/>
      <c r="K295" s="51"/>
      <c r="L295" s="51"/>
      <c r="M295" s="54" t="s">
        <v>6</v>
      </c>
      <c r="N295" s="54">
        <f>(A298 * IFERROR(VLOOKUP(B298,BreakfastTable[],2,FALSE),0)) + (A299 * IFERROR(VLOOKUP(B299,BreakfastTable[],2,FALSE),0)) + (A300 * IFERROR(VLOOKUP(B300,BreakfastTable[],2,FALSE),0)) + (A301 * IFERROR(VLOOKUP(B301,BreakfastTable[],2,FALSE),0))</f>
        <v>32.200000000000003</v>
      </c>
      <c r="O295" s="54">
        <f>(A298 * IFERROR(VLOOKUP(B298,BreakfastTable[],3,FALSE),0)) + (A299 * IFERROR(VLOOKUP(B299,BreakfastTable[],3,FALSE),0)) + (A300 * IFERROR(VLOOKUP(B300,BreakfastTable[],3,FALSE),0)) + (A301 * IFERROR(VLOOKUP(B301,BreakfastTable[],3,FALSE),0))</f>
        <v>14.9</v>
      </c>
      <c r="P295" s="54">
        <f>(A298 * IFERROR(VLOOKUP(B298,BreakfastTable[],4,FALSE),0)) + (A299 * IFERROR(VLOOKUP(B299,BreakfastTable[],4,FALSE),0)) + (A300 * IFERROR(VLOOKUP(B300,BreakfastTable[],4,FALSE),0)) + (A301 * IFERROR(VLOOKUP(B301,BreakfastTable[],4,FALSE),0))</f>
        <v>50.4</v>
      </c>
    </row>
    <row r="296" spans="1:16" x14ac:dyDescent="0.25">
      <c r="A296" s="17"/>
      <c r="B296" s="17"/>
      <c r="C296" s="17"/>
      <c r="D296" s="17"/>
      <c r="E296" s="17"/>
      <c r="F296" s="17"/>
      <c r="G296" s="53"/>
      <c r="H296" s="53"/>
      <c r="I296" s="51"/>
      <c r="J296" s="51"/>
      <c r="K296" s="51"/>
      <c r="L296" s="51"/>
      <c r="M296" s="54" t="s">
        <v>11</v>
      </c>
      <c r="N296" s="54">
        <f>(C298 * IFERROR(VLOOKUP(D298,LunchTable[],2,FALSE),0)) + (C299 * IFERROR(VLOOKUP(D299,LunchTable[],2,FALSE),0)) + (C300 * IFERROR(VLOOKUP(D300,LunchTable[],2,FALSE),0)) + (C301 * IFERROR(VLOOKUP(D301,LunchTable[],2,FALSE),0))</f>
        <v>47</v>
      </c>
      <c r="O296" s="54">
        <f>(C298 * IFERROR(VLOOKUP(D298,LunchTable[],3,FALSE),0)) + (C299 * IFERROR(VLOOKUP(D299,LunchTable[],3,FALSE),0)) + (C300 * IFERROR(VLOOKUP(D300,LunchTable[],3,FALSE),0)) + (C301 * IFERROR(VLOOKUP(D301,LunchTable[],3,FALSE),0))</f>
        <v>36</v>
      </c>
      <c r="P296" s="54">
        <f>(C298 * IFERROR(VLOOKUP(D298,LunchTable[],4,FALSE),0)) + (C299 * IFERROR(VLOOKUP(D299,LunchTable[],4,FALSE),0)) + (C300 * IFERROR(VLOOKUP(D300,LunchTable[],4,FALSE),0)) + (C301 * IFERROR(VLOOKUP(D301,LunchTable[],4,FALSE),0))</f>
        <v>144.5</v>
      </c>
    </row>
    <row r="297" spans="1:16" ht="18" thickBot="1" x14ac:dyDescent="0.35">
      <c r="A297" s="10" t="s">
        <v>34</v>
      </c>
      <c r="B297" s="11" t="s">
        <v>6</v>
      </c>
      <c r="C297" s="10" t="s">
        <v>34</v>
      </c>
      <c r="D297" s="11" t="s">
        <v>11</v>
      </c>
      <c r="E297" s="10" t="s">
        <v>34</v>
      </c>
      <c r="F297" s="11" t="s">
        <v>12</v>
      </c>
      <c r="G297" s="10" t="s">
        <v>34</v>
      </c>
      <c r="H297" s="12" t="s">
        <v>35</v>
      </c>
      <c r="I297" s="5" t="s">
        <v>41</v>
      </c>
      <c r="J297" s="5" t="s">
        <v>42</v>
      </c>
      <c r="K297" s="5" t="s">
        <v>43</v>
      </c>
      <c r="L297" s="51"/>
      <c r="M297" s="54" t="s">
        <v>12</v>
      </c>
      <c r="N297" s="54">
        <f>(E298 * IFERROR(VLOOKUP(F298,DinnerTable[],2,FALSE),0)) + (E299 * IFERROR(VLOOKUP(F299,DinnerTable[],2,FALSE),0)) + (E300 * IFERROR(VLOOKUP(F300,DinnerTable[],2,FALSE),0)) + (E301 * IFERROR(VLOOKUP(F301,DinnerTable[],2,FALSE),0))</f>
        <v>47.5</v>
      </c>
      <c r="O297" s="54">
        <f>(E298 * IFERROR(VLOOKUP(F298,DinnerTable[],3,FALSE),0)) + (E299 * IFERROR(VLOOKUP(F299,DinnerTable[],3,FALSE),0)) + (E300 * IFERROR(VLOOKUP(F300,DinnerTable[],3,FALSE),0)) + (E301 * IFERROR(VLOOKUP(F301,DinnerTable[],3,FALSE),0))</f>
        <v>3.75</v>
      </c>
      <c r="P297" s="54">
        <f>(E298 * IFERROR(VLOOKUP(F298,DinnerTable[],4,FALSE),0)) + (E299 * IFERROR(VLOOKUP(F299,DinnerTable[],4,FALSE),0)) + (E300 * IFERROR(VLOOKUP(F300,DinnerTable[],4,FALSE),0)) + (E301 * IFERROR(VLOOKUP(F301,DinnerTable[],4,FALSE),0))</f>
        <v>2.5</v>
      </c>
    </row>
    <row r="298" spans="1:16" ht="15.75" thickTop="1" x14ac:dyDescent="0.25">
      <c r="A298" s="17">
        <v>1</v>
      </c>
      <c r="B298" s="17" t="s">
        <v>96</v>
      </c>
      <c r="C298" s="17">
        <v>2</v>
      </c>
      <c r="D298" s="17" t="s">
        <v>100</v>
      </c>
      <c r="E298" s="17">
        <v>0.5</v>
      </c>
      <c r="F298" s="17" t="s">
        <v>53</v>
      </c>
      <c r="G298" s="17"/>
      <c r="H298" s="17"/>
      <c r="I298" s="2">
        <v>18.399999999999999</v>
      </c>
      <c r="J298" s="2">
        <v>8</v>
      </c>
      <c r="K298" s="2">
        <v>13.8</v>
      </c>
      <c r="L298" s="51"/>
      <c r="M298" s="54" t="s">
        <v>35</v>
      </c>
      <c r="N298" s="54">
        <f>(G298 * IFERROR(VLOOKUP(H298,PostWorkoutTable[],2,FALSE),0)) + (G299 * IFERROR(VLOOKUP(H299,PostWorkoutTable[],2,FALSE),0)) + (G300 * IFERROR(VLOOKUP(H300,PostWorkoutTable[],2,FALSE),0)) + (G301 * IFERROR(VLOOKUP(H301,PostWorkoutTable[],2,FALSE),0))</f>
        <v>0</v>
      </c>
      <c r="O298" s="54">
        <f>(G298 * IFERROR(VLOOKUP(H298,PostWorkoutTable[],3,FALSE),0)) + (G299 * IFERROR(VLOOKUP(H299,PostWorkoutTable[],3,FALSE),0)) + (G300 * IFERROR(VLOOKUP(H300,PostWorkoutTable[],3,FALSE),0)) + (G301 * IFERROR(VLOOKUP(H301,PostWorkoutTable[],3,FALSE),0))</f>
        <v>0</v>
      </c>
      <c r="P298" s="54">
        <f>(G298 * IFERROR(VLOOKUP(H298,PostWorkoutTable[],4,FALSE),0)) + (G299 * IFERROR(VLOOKUP(H299,PostWorkoutTable[],4,FALSE),0)) + (G300 * IFERROR(VLOOKUP(H300,PostWorkoutTable[],4,FALSE),0)) + (G301 * IFERROR(VLOOKUP(H301,PostWorkoutTable[],4,FALSE),0))</f>
        <v>0</v>
      </c>
    </row>
    <row r="299" spans="1:16" x14ac:dyDescent="0.25">
      <c r="A299" s="17"/>
      <c r="B299" s="17"/>
      <c r="C299" s="17">
        <v>1</v>
      </c>
      <c r="D299" s="17" t="s">
        <v>25</v>
      </c>
      <c r="E299" s="17"/>
      <c r="F299" s="17"/>
      <c r="G299" s="17"/>
      <c r="H299" s="17"/>
      <c r="I299" s="2">
        <v>0.6</v>
      </c>
      <c r="J299" s="2">
        <v>0.1</v>
      </c>
      <c r="K299" s="2">
        <v>8.1999999999999993</v>
      </c>
      <c r="L299" s="51"/>
      <c r="M299" s="54" t="s">
        <v>21</v>
      </c>
      <c r="N299" s="54">
        <f xml:space="preserve"> SUM(I298:I301)</f>
        <v>19</v>
      </c>
      <c r="O299" s="54">
        <f>SUM(J298:J301)</f>
        <v>8.1</v>
      </c>
      <c r="P299" s="54">
        <f>SUM(K298:K301)</f>
        <v>22</v>
      </c>
    </row>
    <row r="300" spans="1:16" x14ac:dyDescent="0.25">
      <c r="A300" s="17"/>
      <c r="B300" s="17"/>
      <c r="C300" s="17">
        <v>1</v>
      </c>
      <c r="D300" s="17" t="s">
        <v>55</v>
      </c>
      <c r="E300" s="17"/>
      <c r="F300" s="17"/>
      <c r="G300" s="17"/>
      <c r="H300" s="17"/>
      <c r="I300" s="2"/>
      <c r="J300" s="2"/>
      <c r="K300" s="2"/>
      <c r="L300" s="51"/>
      <c r="M300" s="54" t="s">
        <v>38</v>
      </c>
      <c r="N300" s="54">
        <f>SUM(N295:N299)</f>
        <v>145.69999999999999</v>
      </c>
      <c r="O300" s="54">
        <f>SUM(O295:O299)</f>
        <v>62.75</v>
      </c>
      <c r="P300" s="54">
        <f>SUM(P295:P299)</f>
        <v>219.4</v>
      </c>
    </row>
    <row r="301" spans="1:16" x14ac:dyDescent="0.25">
      <c r="A301" s="17"/>
      <c r="B301" s="17"/>
      <c r="C301" s="17"/>
      <c r="D301" s="17"/>
      <c r="E301" s="17"/>
      <c r="F301" s="17"/>
      <c r="G301" s="17"/>
      <c r="H301" s="17"/>
      <c r="I301" s="2"/>
      <c r="J301" s="2"/>
      <c r="K301" s="2"/>
      <c r="L301" s="51"/>
      <c r="M301" s="51"/>
      <c r="N301" s="51"/>
      <c r="O301" s="51"/>
      <c r="P301" s="51"/>
    </row>
    <row r="302" spans="1:16" x14ac:dyDescent="0.25">
      <c r="I302" s="51">
        <f>SUM(I298:I301)</f>
        <v>19</v>
      </c>
      <c r="J302" s="51">
        <f>SUM(J298:J301)</f>
        <v>8.1</v>
      </c>
      <c r="K302" s="51">
        <f>SUM(K298:K301)</f>
        <v>22</v>
      </c>
    </row>
    <row r="1048576" spans="1:3" x14ac:dyDescent="0.25">
      <c r="A1048576">
        <f>SUM(A8:A1048575)</f>
        <v>2527071.75</v>
      </c>
      <c r="C1048576">
        <f>SUM(C1:C1048575)</f>
        <v>63.5</v>
      </c>
    </row>
  </sheetData>
  <dataValidations count="6">
    <dataValidation type="list" allowBlank="1" showInputMessage="1" showErrorMessage="1" sqref="A25 A5 A15 A35 A45 A55 A65 A75 A85 A95 A105 A115 A125 A135 A145 A155 A265 A165 A175 A185 A195 A215 A225 A235 A245 A255 A205 A275 A285 A295" xr:uid="{DA3BD747-9285-438E-9DAE-785C02D95BF0}">
      <formula1 xml:space="preserve"> OverviewWeekRange</formula1>
    </dataValidation>
    <dataValidation type="list" allowBlank="1" showInputMessage="1" showErrorMessage="1" sqref="B8:B11 B28:B31 B18:B21 B38:B41 B48:B51 B58:B61 B68:B71 B78:B81 B88:B91 B98:B101 B108:B111 B118:B121 B128:B131 B138:B141 B148:B151 B158:B161 B168:B171 B178:B181 B188:B191 B198:B201 B208:B211 B218:B221 B228:B231 B238:B241 B248:B251 B268:B271 B258:B261 B278:B281 B288:B291 B298:B301" xr:uid="{D89D2323-FF51-4203-B5D7-59F1EFCE1C56}">
      <formula1>BreakfastMealRange</formula1>
    </dataValidation>
    <dataValidation type="list" allowBlank="1" showInputMessage="1" showErrorMessage="1" sqref="D8:D11 D28:D31 D128:D131 D21 D48:D51 D58:D61 D68:D71 D78:D81 D88:D91 D98:D101 D108:D111 D118:D121 D18:D19 D138:D141 D148:D151 D268:D271 D158:D161 D178:D181 D188:D191 D198:D201 D208:D211 D218:D221 D228:D231 D168:D171 D238:D241 D258:D261 D248:D251 D298:D301 D288:D291 D279:D281" xr:uid="{0186D327-E192-427D-8556-BDB647CD792C}">
      <formula1>LunchMealRange</formula1>
    </dataValidation>
    <dataValidation type="list" allowBlank="1" showInputMessage="1" showErrorMessage="1" sqref="F8:F11 F28:F31 F18:F21 D38:D41 F48:F51 F58:F61 F68:F71 F78:F81 F88:F91 F98:F101 F108:F111 F118:F121 F128:F131 D20 F38:F41 F268:F271 F148:F151 F158:F161 F168:F171 F178:F181 F188:F191 F198:F201 F208:F211 F218:F221 F228:F231 F138:F141 F238:F241 F248:F251 F258:F261 F278:F281 F288:F291 F298:F301 D278" xr:uid="{885B5ECA-45E2-4BB3-BE76-7A48BCFBD825}">
      <formula1>DinnerMealRange</formula1>
    </dataValidation>
    <dataValidation type="list" allowBlank="1" showInputMessage="1" showErrorMessage="1" sqref="H8:H11 H28:H31 H18:H21 H38:H41 H48:H51 H58:H61 H68:H71 H78:H81 H88:H91 H98:H101 H108:H111 H118:H121 H128:H131 H138:H141 H148:H151 H158:H161 H168:H171 H178:H181 H188:H191 H198:H201 H208:H211 H218:H221 H228:H231 H238:H241 H248:H251 H258:H261 H268:H271 H278:H281 H288:H291 H298:H301" xr:uid="{3F049CF8-00CA-4A17-9093-57450DA65F0D}">
      <formula1>PostWorkoutMealRange</formula1>
    </dataValidation>
    <dataValidation type="list" allowBlank="1" showInputMessage="1" showErrorMessage="1" sqref="C28:C31 C8:C11 E8:E11 G8:G11 E28:E31 G28:G31 A28:A31 A8:A11 A128:A131 E18:E21 G18:G21 A18:A21 C18:C21 C38:C41 G38:G41 A38:A41 C48:C51 E48:E51 G48:G51 A48:A51 C58:C61 E58:E61 G58:G61 A58:A61 C68:C71 E68:E71 G68:G71 A68:A71 C78:C81 E78:E81 G78:G81 A78:A81 C88:C91 E88:E91 G88:G91 A88:A91 C98:C101 E98:E101 G98:G101 A98:A101 C108:C111 E108:E111 G108:G111 A108:A111 C118:C121 E118:E121 G118:G121 A118:A121 C128:C131 E128:E131 G128:G131 E38:E41 A138:A141 C138:C141 G268:G271 G138:G141 A148:A151 C148:C151 E148:E151 G148:G151 A158:A161 E138:E141 E158:E161 G158:G161 A168:A171 C158:C161 E168:E171 G168:G171 A178:A181 C178:C181 E178:E181 G178:G181 A188:A191 C188:C191 E188:E191 G188:G191 A198:A201 C198:C201 E198:E201 G198:G201 A208:A211 C208:C211 E208:E211 G208:G211 A218:A221 C218:C221 E218:E221 G218:G221 A228:A231 C228:C231 E228:E231 G228:G231 A238:A241 E238:E241 C168:C171 G238:G241 A248:A251 C238:C241 C248:C251 G248:G251 E248:E251 C258:C261 A258:A261 G258:G261 A268:A271 C268:C271 E268:E271 E258:E261 G278:G281 A278:A281 E298:E301 E278:E281 G288:G291 A288:A291 C288:C291 E288:E291 G298:G301 A298:A301 C298:C301 C278:C281" xr:uid="{3B78C631-53BA-4BB9-9DD8-F8B7F6D062AB}">
      <formula1 xml:space="preserve"> AmountRange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E8D2B-8879-4AC6-9C90-44D1D28C5EE6}">
  <sheetPr codeName="Sheet10"/>
  <dimension ref="A1:P1048576"/>
  <sheetViews>
    <sheetView topLeftCell="A58" zoomScaleNormal="100" workbookViewId="0">
      <selection activeCell="I192" sqref="I192:K192"/>
    </sheetView>
  </sheetViews>
  <sheetFormatPr defaultRowHeight="15" x14ac:dyDescent="0.25"/>
  <cols>
    <col min="1" max="8" width="25.7109375" customWidth="1"/>
    <col min="9" max="11" width="18.7109375" customWidth="1"/>
    <col min="12" max="12" width="9.140625" customWidth="1"/>
    <col min="13" max="13" width="13.5703125" customWidth="1"/>
    <col min="14" max="14" width="10.7109375" customWidth="1"/>
    <col min="15" max="15" width="9.7109375" customWidth="1"/>
  </cols>
  <sheetData>
    <row r="1" spans="1:16" ht="23.25" x14ac:dyDescent="0.35">
      <c r="A1" s="58" t="s">
        <v>117</v>
      </c>
      <c r="B1" s="57"/>
      <c r="C1" s="57"/>
      <c r="D1" s="57"/>
      <c r="E1" s="57"/>
      <c r="F1" s="57"/>
      <c r="G1" s="57"/>
      <c r="H1" s="57"/>
      <c r="I1" s="57"/>
      <c r="J1" s="57"/>
      <c r="K1" s="57"/>
      <c r="L1" s="57"/>
      <c r="M1" s="57"/>
      <c r="N1" s="57"/>
      <c r="O1" s="57"/>
      <c r="P1" s="57"/>
    </row>
    <row r="2" spans="1:16" ht="23.25" x14ac:dyDescent="0.35">
      <c r="A2" s="58"/>
      <c r="B2" s="57"/>
      <c r="C2" s="57"/>
      <c r="D2" s="57"/>
      <c r="E2" s="57"/>
      <c r="F2" s="57"/>
      <c r="G2" s="57"/>
      <c r="H2" s="57"/>
      <c r="I2" s="57"/>
      <c r="J2" s="57"/>
      <c r="K2" s="57"/>
      <c r="L2" s="57"/>
      <c r="M2" s="57"/>
      <c r="N2" s="57"/>
      <c r="O2" s="57"/>
      <c r="P2" s="57"/>
    </row>
    <row r="3" spans="1:16" ht="23.25" x14ac:dyDescent="0.35">
      <c r="A3" s="63">
        <v>43586</v>
      </c>
      <c r="B3" s="57"/>
      <c r="C3" s="57"/>
      <c r="D3" s="57"/>
      <c r="E3" s="57"/>
      <c r="F3" s="57"/>
      <c r="G3" s="57"/>
      <c r="H3" s="57"/>
      <c r="I3" s="57"/>
      <c r="J3" s="57"/>
      <c r="K3" s="57"/>
      <c r="L3" s="57"/>
      <c r="M3" s="57"/>
      <c r="N3" s="57"/>
      <c r="O3" s="57"/>
      <c r="P3" s="57"/>
    </row>
    <row r="4" spans="1:16" ht="18" thickBot="1" x14ac:dyDescent="0.35">
      <c r="A4" s="3" t="s">
        <v>48</v>
      </c>
      <c r="B4" s="3" t="s">
        <v>0</v>
      </c>
      <c r="C4" s="3" t="s">
        <v>36</v>
      </c>
      <c r="D4" s="3" t="s">
        <v>8</v>
      </c>
      <c r="E4" s="5" t="s">
        <v>9</v>
      </c>
      <c r="F4" s="5" t="s">
        <v>10</v>
      </c>
      <c r="G4" s="59"/>
      <c r="H4" s="60"/>
      <c r="I4" s="57"/>
      <c r="J4" s="57"/>
      <c r="K4" s="57"/>
      <c r="L4" s="57"/>
      <c r="M4" s="59"/>
      <c r="N4" s="61" t="s">
        <v>8</v>
      </c>
      <c r="O4" s="61" t="s">
        <v>9</v>
      </c>
      <c r="P4" s="61" t="s">
        <v>10</v>
      </c>
    </row>
    <row r="5" spans="1:16" ht="15.75" thickTop="1" x14ac:dyDescent="0.25">
      <c r="A5" s="18">
        <v>43584</v>
      </c>
      <c r="B5" s="16">
        <f>IFERROR(VLOOKUP(A5,OverviewTable[],2,FALSE),"?")</f>
        <v>131.4</v>
      </c>
      <c r="C5" s="16" t="str">
        <f>((N10 * 4) + (O10 * 9) + (P10 * 4))&amp;"/"&amp;IFERROR(VLOOKUP(A5,OverviewTable[],11,FALSE),"?")</f>
        <v>1991.2/2352.4</v>
      </c>
      <c r="D5" s="16" t="str">
        <f>N10&amp;"/"&amp;IFERROR(VLOOKUP(A5,OverviewTable[],12,FALSE),"?")</f>
        <v>123/131</v>
      </c>
      <c r="E5" s="16" t="str">
        <f>O10&amp;"/"&amp;IFERROR(VLOOKUP(A5,OverviewTable[],13,FALSE),"?")</f>
        <v>74/65</v>
      </c>
      <c r="F5" s="16" t="str">
        <f>P10&amp;"/"&amp;IFERROR(VLOOKUP(A5,OverviewTable[],14,FALSE),"?")</f>
        <v>208.3/311</v>
      </c>
      <c r="G5" s="60"/>
      <c r="H5" s="60"/>
      <c r="I5" s="57"/>
      <c r="J5" s="57"/>
      <c r="K5" s="57"/>
      <c r="L5" s="57"/>
      <c r="M5" s="61" t="s">
        <v>6</v>
      </c>
      <c r="N5" s="61">
        <f>(A8 * IFERROR(VLOOKUP(B8,BreakfastTable[],2,FALSE),0)) + (A9 * IFERROR(VLOOKUP(B9,BreakfastTable[],2,FALSE),0)) + (A10 * IFERROR(VLOOKUP(B10,BreakfastTable[],2,FALSE),0)) + (A11 * IFERROR(VLOOKUP(B11,BreakfastTable[],2,FALSE),0))</f>
        <v>20</v>
      </c>
      <c r="O5" s="61">
        <f>(A8 * IFERROR(VLOOKUP(B8,BreakfastTable[],3,FALSE),0)) + (A9 * IFERROR(VLOOKUP(B9,BreakfastTable[],3,FALSE),0)) + (A10 * IFERROR(VLOOKUP(B10,BreakfastTable[],3,FALSE),0)) + (A11 * IFERROR(VLOOKUP(B11,BreakfastTable[],3,FALSE),0))</f>
        <v>9</v>
      </c>
      <c r="P5" s="61">
        <f>(A8 * IFERROR(VLOOKUP(B8,BreakfastTable[],4,FALSE),0)) + (A9 * IFERROR(VLOOKUP(B9,BreakfastTable[],4,FALSE),0)) + (A10 * IFERROR(VLOOKUP(B10,BreakfastTable[],4,FALSE),0)) + (A11 * IFERROR(VLOOKUP(B11,BreakfastTable[],4,FALSE),0))</f>
        <v>30</v>
      </c>
    </row>
    <row r="6" spans="1:16" x14ac:dyDescent="0.25">
      <c r="A6" s="17"/>
      <c r="B6" s="17"/>
      <c r="C6" s="17"/>
      <c r="D6" s="17"/>
      <c r="E6" s="17"/>
      <c r="F6" s="17"/>
      <c r="G6" s="60"/>
      <c r="H6" s="60"/>
      <c r="I6" s="57"/>
      <c r="J6" s="57"/>
      <c r="K6" s="57"/>
      <c r="L6" s="57"/>
      <c r="M6" s="61" t="s">
        <v>11</v>
      </c>
      <c r="N6" s="61">
        <f>(C8 * IFERROR(VLOOKUP(D8,LunchTable[],2,FALSE),0)) + (C9 * IFERROR(VLOOKUP(D9,LunchTable[],2,FALSE),0)) + (C10 * IFERROR(VLOOKUP(D10,LunchTable[],2,FALSE),0)) + (C11 * IFERROR(VLOOKUP(D11,LunchTable[],2,FALSE),0))</f>
        <v>0</v>
      </c>
      <c r="O6" s="61">
        <f>(C8 * IFERROR(VLOOKUP(D8,LunchTable[],3,FALSE),0)) + (C9 * IFERROR(VLOOKUP(D9,LunchTable[],3,FALSE),0)) + (C10 * IFERROR(VLOOKUP(D10,LunchTable[],3,FALSE),0)) + (C11 * IFERROR(VLOOKUP(D11,LunchTable[],3,FALSE),0))</f>
        <v>0</v>
      </c>
      <c r="P6" s="61">
        <f>(C8 * IFERROR(VLOOKUP(D8,LunchTable[],4,FALSE),0)) + (C9 * IFERROR(VLOOKUP(D9,LunchTable[],4,FALSE),0)) + (C10 * IFERROR(VLOOKUP(D10,LunchTable[],4,FALSE),0)) + (C11 * IFERROR(VLOOKUP(D11,LunchTable[],4,FALSE),0))</f>
        <v>0</v>
      </c>
    </row>
    <row r="7" spans="1:16" ht="18" thickBot="1" x14ac:dyDescent="0.35">
      <c r="A7" s="10" t="s">
        <v>34</v>
      </c>
      <c r="B7" s="11" t="s">
        <v>6</v>
      </c>
      <c r="C7" s="10" t="s">
        <v>34</v>
      </c>
      <c r="D7" s="11" t="s">
        <v>11</v>
      </c>
      <c r="E7" s="10" t="s">
        <v>34</v>
      </c>
      <c r="F7" s="11" t="s">
        <v>12</v>
      </c>
      <c r="G7" s="10" t="s">
        <v>34</v>
      </c>
      <c r="H7" s="12" t="s">
        <v>35</v>
      </c>
      <c r="I7" s="5" t="s">
        <v>41</v>
      </c>
      <c r="J7" s="5" t="s">
        <v>42</v>
      </c>
      <c r="K7" s="5" t="s">
        <v>43</v>
      </c>
      <c r="L7" s="57"/>
      <c r="M7" s="61" t="s">
        <v>12</v>
      </c>
      <c r="N7" s="61">
        <f>(E8 * IFERROR(VLOOKUP(F8,DinnerTable[],2,FALSE),0)) + (E9 * IFERROR(VLOOKUP(F9,DinnerTable[],2,FALSE),0)) + (E10 * IFERROR(VLOOKUP(F10,DinnerTable[],2,FALSE),0)) + (E11 * IFERROR(VLOOKUP(F11,DinnerTable[],2,FALSE),0))</f>
        <v>0</v>
      </c>
      <c r="O7" s="61">
        <f>(E8 * IFERROR(VLOOKUP(F8,DinnerTable[],3,FALSE),0)) + (E9 * IFERROR(VLOOKUP(F9,DinnerTable[],3,FALSE),0)) + (E10 * IFERROR(VLOOKUP(F10,DinnerTable[],3,FALSE),0)) + (E11 * IFERROR(VLOOKUP(F11,DinnerTable[],3,FALSE),0))</f>
        <v>0</v>
      </c>
      <c r="P7" s="61">
        <f>(E8 * IFERROR(VLOOKUP(F8,DinnerTable[],4,FALSE),0)) + (E9 * IFERROR(VLOOKUP(F9,DinnerTable[],4,FALSE),0)) + (E10 * IFERROR(VLOOKUP(F10,DinnerTable[],4,FALSE),0)) + (E11 * IFERROR(VLOOKUP(F11,DinnerTable[],4,FALSE),0))</f>
        <v>0</v>
      </c>
    </row>
    <row r="8" spans="1:16" ht="15.75" thickTop="1" x14ac:dyDescent="0.25">
      <c r="A8" s="17">
        <v>1</v>
      </c>
      <c r="B8" s="17" t="s">
        <v>26</v>
      </c>
      <c r="C8" s="17"/>
      <c r="D8" s="17"/>
      <c r="E8" s="17"/>
      <c r="F8" s="17"/>
      <c r="G8" s="17">
        <v>1</v>
      </c>
      <c r="H8" s="17" t="s">
        <v>98</v>
      </c>
      <c r="I8" s="2">
        <v>39</v>
      </c>
      <c r="J8" s="2">
        <v>31</v>
      </c>
      <c r="K8" s="2">
        <v>60</v>
      </c>
      <c r="L8" s="57"/>
      <c r="M8" s="61" t="s">
        <v>35</v>
      </c>
      <c r="N8" s="61">
        <f>(G8 * IFERROR(VLOOKUP(H8,PostWorkoutTable[],2,FALSE),0)) + (G9 * IFERROR(VLOOKUP(H9,PostWorkoutTable[],2,FALSE),0)) + (G10 * IFERROR(VLOOKUP(H10,PostWorkoutTable[],2,FALSE),0)) + (G11 * IFERROR(VLOOKUP(H11,PostWorkoutTable[],2,FALSE),0))</f>
        <v>32.299999999999997</v>
      </c>
      <c r="O8" s="61">
        <f>(G8 * IFERROR(VLOOKUP(H8,PostWorkoutTable[],3,FALSE),0)) + (G9 * IFERROR(VLOOKUP(H9,PostWorkoutTable[],3,FALSE),0)) + (G10 * IFERROR(VLOOKUP(H10,PostWorkoutTable[],3,FALSE),0)) + (G11 * IFERROR(VLOOKUP(H11,PostWorkoutTable[],3,FALSE),0))</f>
        <v>14.9</v>
      </c>
      <c r="P8" s="61">
        <f>(G8 * IFERROR(VLOOKUP(H8,PostWorkoutTable[],4,FALSE),0)) + (G9 * IFERROR(VLOOKUP(H9,PostWorkoutTable[],4,FALSE),0)) + (G10 * IFERROR(VLOOKUP(H10,PostWorkoutTable[],4,FALSE),0)) + (G11 * IFERROR(VLOOKUP(H11,PostWorkoutTable[],4,FALSE),0))</f>
        <v>55.3</v>
      </c>
    </row>
    <row r="9" spans="1:16" x14ac:dyDescent="0.25">
      <c r="A9" s="17"/>
      <c r="B9" s="17"/>
      <c r="C9" s="17"/>
      <c r="D9" s="17"/>
      <c r="E9" s="17"/>
      <c r="F9" s="17"/>
      <c r="G9" s="17"/>
      <c r="H9" s="17"/>
      <c r="I9" s="2">
        <v>30</v>
      </c>
      <c r="J9" s="2">
        <v>12</v>
      </c>
      <c r="K9" s="2">
        <v>41</v>
      </c>
      <c r="L9" s="57"/>
      <c r="M9" s="61" t="s">
        <v>21</v>
      </c>
      <c r="N9" s="61">
        <f xml:space="preserve"> SUM(I8:I11)</f>
        <v>70.7</v>
      </c>
      <c r="O9" s="61">
        <f>SUM(J8:J11)</f>
        <v>50.1</v>
      </c>
      <c r="P9" s="61">
        <f>SUM(K8:K11)</f>
        <v>123</v>
      </c>
    </row>
    <row r="10" spans="1:16" x14ac:dyDescent="0.25">
      <c r="A10" s="17"/>
      <c r="B10" s="17"/>
      <c r="C10" s="17"/>
      <c r="D10" s="17"/>
      <c r="E10" s="17"/>
      <c r="F10" s="17"/>
      <c r="G10" s="17"/>
      <c r="H10" s="17"/>
      <c r="I10" s="2">
        <v>1.7</v>
      </c>
      <c r="J10" s="2">
        <v>7.1</v>
      </c>
      <c r="K10" s="2">
        <v>22</v>
      </c>
      <c r="L10" s="57"/>
      <c r="M10" s="61" t="s">
        <v>38</v>
      </c>
      <c r="N10" s="61">
        <f>SUM(N5:N9)</f>
        <v>123</v>
      </c>
      <c r="O10" s="61">
        <f>SUM(O5:O9)</f>
        <v>74</v>
      </c>
      <c r="P10" s="61">
        <f>SUM(P5:P9)</f>
        <v>208.3</v>
      </c>
    </row>
    <row r="11" spans="1:16" x14ac:dyDescent="0.25">
      <c r="A11" s="17"/>
      <c r="B11" s="17"/>
      <c r="C11" s="17"/>
      <c r="D11" s="17"/>
      <c r="E11" s="17"/>
      <c r="F11" s="17"/>
      <c r="G11" s="17"/>
      <c r="H11" s="17"/>
      <c r="I11" s="2"/>
      <c r="J11" s="2"/>
      <c r="K11" s="2"/>
      <c r="L11" s="57"/>
      <c r="M11" s="57"/>
      <c r="N11" s="57"/>
      <c r="O11" s="57"/>
      <c r="P11" s="57"/>
    </row>
    <row r="12" spans="1:16" x14ac:dyDescent="0.25">
      <c r="A12" s="57"/>
      <c r="B12" s="57"/>
      <c r="C12" s="57"/>
      <c r="D12" s="57"/>
      <c r="E12" s="57"/>
      <c r="F12" s="57"/>
      <c r="G12" s="57"/>
      <c r="H12" s="57"/>
      <c r="I12" s="57">
        <f>SUM(I8:I11)</f>
        <v>70.7</v>
      </c>
      <c r="J12" s="57">
        <f>SUM(J8:J11)</f>
        <v>50.1</v>
      </c>
      <c r="K12" s="57">
        <f>SUM(I12:J12)</f>
        <v>120.80000000000001</v>
      </c>
      <c r="L12" s="57"/>
      <c r="M12" s="57"/>
      <c r="N12" s="57"/>
      <c r="O12" s="57"/>
      <c r="P12" s="57"/>
    </row>
    <row r="13" spans="1:16" ht="23.25" x14ac:dyDescent="0.35">
      <c r="A13" s="63">
        <v>43592</v>
      </c>
      <c r="B13" s="57"/>
      <c r="C13" s="57"/>
      <c r="D13" s="57"/>
      <c r="E13" s="57"/>
      <c r="F13" s="57"/>
      <c r="G13" s="57"/>
      <c r="H13" s="57"/>
      <c r="I13" s="57"/>
      <c r="J13" s="57"/>
      <c r="K13" s="57"/>
      <c r="L13" s="57"/>
      <c r="M13" s="57"/>
      <c r="N13" s="57"/>
      <c r="O13" s="57"/>
      <c r="P13" s="57"/>
    </row>
    <row r="14" spans="1:16" ht="18" thickBot="1" x14ac:dyDescent="0.35">
      <c r="A14" s="3" t="s">
        <v>48</v>
      </c>
      <c r="B14" s="3" t="s">
        <v>0</v>
      </c>
      <c r="C14" s="3" t="s">
        <v>36</v>
      </c>
      <c r="D14" s="3" t="s">
        <v>8</v>
      </c>
      <c r="E14" s="5" t="s">
        <v>9</v>
      </c>
      <c r="F14" s="5" t="s">
        <v>10</v>
      </c>
      <c r="G14" s="59"/>
      <c r="H14" s="60"/>
      <c r="I14" s="57"/>
      <c r="J14" s="57"/>
      <c r="K14" s="57"/>
      <c r="L14" s="57"/>
      <c r="M14" s="59"/>
      <c r="N14" s="61" t="s">
        <v>8</v>
      </c>
      <c r="O14" s="61" t="s">
        <v>9</v>
      </c>
      <c r="P14" s="61" t="s">
        <v>10</v>
      </c>
    </row>
    <row r="15" spans="1:16" ht="15.75" thickTop="1" x14ac:dyDescent="0.25">
      <c r="A15" s="18">
        <v>43591</v>
      </c>
      <c r="B15" s="16">
        <f>IFERROR(VLOOKUP(A15,OverviewTable[],2,FALSE),"?")</f>
        <v>133.4</v>
      </c>
      <c r="C15" s="16" t="str">
        <f>((N20 * 4) + (O20 * 9) + (P20 * 4))&amp;"/"&amp;IFERROR(VLOOKUP(A15,OverviewTable[],11,FALSE),"?")</f>
        <v>3027.7/2384.4</v>
      </c>
      <c r="D15" s="16" t="str">
        <f>N20&amp;"/"&amp;IFERROR(VLOOKUP(A15,OverviewTable[],12,FALSE),"?")</f>
        <v>146.1/133</v>
      </c>
      <c r="E15" s="16" t="str">
        <f>O20&amp;"/"&amp;IFERROR(VLOOKUP(A15,OverviewTable[],13,FALSE),"?")</f>
        <v>114.1/66</v>
      </c>
      <c r="F15" s="16" t="str">
        <f>P20&amp;"/"&amp;IFERROR(VLOOKUP(A15,OverviewTable[],14,FALSE),"?")</f>
        <v>354.1/315</v>
      </c>
      <c r="G15" s="60"/>
      <c r="H15" s="60"/>
      <c r="I15" s="57"/>
      <c r="J15" s="57"/>
      <c r="K15" s="57"/>
      <c r="L15" s="57"/>
      <c r="M15" s="61" t="s">
        <v>6</v>
      </c>
      <c r="N15" s="61">
        <f>(A18 * IFERROR(VLOOKUP(B18,BreakfastTable[],2,FALSE),0)) + (A19 * IFERROR(VLOOKUP(B19,BreakfastTable[],2,FALSE),0)) + (A20 * IFERROR(VLOOKUP(B20,BreakfastTable[],2,FALSE),0)) + (A21 * IFERROR(VLOOKUP(B21,BreakfastTable[],2,FALSE),0))</f>
        <v>21.6</v>
      </c>
      <c r="O15" s="61">
        <f>(A18 * IFERROR(VLOOKUP(B18,BreakfastTable[],3,FALSE),0)) + (A19 * IFERROR(VLOOKUP(B19,BreakfastTable[],3,FALSE),0)) + (A20 * IFERROR(VLOOKUP(B20,BreakfastTable[],3,FALSE),0)) + (A21 * IFERROR(VLOOKUP(B21,BreakfastTable[],3,FALSE),0))</f>
        <v>9.5</v>
      </c>
      <c r="P15" s="61">
        <f>(A18 * IFERROR(VLOOKUP(B18,BreakfastTable[],4,FALSE),0)) + (A19 * IFERROR(VLOOKUP(B19,BreakfastTable[],4,FALSE),0)) + (A20 * IFERROR(VLOOKUP(B20,BreakfastTable[],4,FALSE),0)) + (A21 * IFERROR(VLOOKUP(B21,BreakfastTable[],4,FALSE),0))</f>
        <v>64.3</v>
      </c>
    </row>
    <row r="16" spans="1:16" x14ac:dyDescent="0.25">
      <c r="A16" s="17"/>
      <c r="B16" s="17"/>
      <c r="C16" s="17"/>
      <c r="D16" s="17"/>
      <c r="E16" s="17"/>
      <c r="F16" s="17"/>
      <c r="G16" s="60"/>
      <c r="H16" s="60"/>
      <c r="I16" s="57"/>
      <c r="J16" s="57"/>
      <c r="K16" s="57"/>
      <c r="L16" s="57"/>
      <c r="M16" s="61" t="s">
        <v>11</v>
      </c>
      <c r="N16" s="61">
        <f>(C18 * IFERROR(VLOOKUP(D18,LunchTable[],2,FALSE),0)) + (C19 * IFERROR(VLOOKUP(D19,LunchTable[],2,FALSE),0)) + (C20 * IFERROR(VLOOKUP(D20,LunchTable[],2,FALSE),0)) + (C21 * IFERROR(VLOOKUP(D21,LunchTable[],2,FALSE),0))</f>
        <v>52.5</v>
      </c>
      <c r="O16" s="61">
        <f>(C18 * IFERROR(VLOOKUP(D18,LunchTable[],3,FALSE),0)) + (C19 * IFERROR(VLOOKUP(D19,LunchTable[],3,FALSE),0)) + (C20 * IFERROR(VLOOKUP(D20,LunchTable[],3,FALSE),0)) + (C21 * IFERROR(VLOOKUP(D21,LunchTable[],3,FALSE),0))</f>
        <v>38.1</v>
      </c>
      <c r="P16" s="61">
        <f>(C18 * IFERROR(VLOOKUP(D18,LunchTable[],4,FALSE),0)) + (C19 * IFERROR(VLOOKUP(D19,LunchTable[],4,FALSE),0)) + (C20 * IFERROR(VLOOKUP(D20,LunchTable[],4,FALSE),0)) + (C21 * IFERROR(VLOOKUP(D21,LunchTable[],4,FALSE),0))</f>
        <v>108.8</v>
      </c>
    </row>
    <row r="17" spans="1:16" ht="18" thickBot="1" x14ac:dyDescent="0.35">
      <c r="A17" s="10" t="s">
        <v>34</v>
      </c>
      <c r="B17" s="11" t="s">
        <v>6</v>
      </c>
      <c r="C17" s="10" t="s">
        <v>34</v>
      </c>
      <c r="D17" s="11" t="s">
        <v>11</v>
      </c>
      <c r="E17" s="10" t="s">
        <v>34</v>
      </c>
      <c r="F17" s="11" t="s">
        <v>12</v>
      </c>
      <c r="G17" s="10" t="s">
        <v>34</v>
      </c>
      <c r="H17" s="12" t="s">
        <v>35</v>
      </c>
      <c r="I17" s="5" t="s">
        <v>41</v>
      </c>
      <c r="J17" s="5" t="s">
        <v>42</v>
      </c>
      <c r="K17" s="5" t="s">
        <v>43</v>
      </c>
      <c r="L17" s="57"/>
      <c r="M17" s="61" t="s">
        <v>12</v>
      </c>
      <c r="N17" s="61">
        <f>(E18 * IFERROR(VLOOKUP(F18,DinnerTable[],2,FALSE),0)) + (E19 * IFERROR(VLOOKUP(F19,DinnerTable[],2,FALSE),0)) + (E20 * IFERROR(VLOOKUP(F20,DinnerTable[],2,FALSE),0)) + (E21 * IFERROR(VLOOKUP(F21,DinnerTable[],2,FALSE),0))</f>
        <v>72</v>
      </c>
      <c r="O17" s="61">
        <f>(E18 * IFERROR(VLOOKUP(F18,DinnerTable[],3,FALSE),0)) + (E19 * IFERROR(VLOOKUP(F19,DinnerTable[],3,FALSE),0)) + (E20 * IFERROR(VLOOKUP(F20,DinnerTable[],3,FALSE),0)) + (E21 * IFERROR(VLOOKUP(F21,DinnerTable[],3,FALSE),0))</f>
        <v>66.5</v>
      </c>
      <c r="P17" s="61">
        <f>(E18 * IFERROR(VLOOKUP(F18,DinnerTable[],4,FALSE),0)) + (E19 * IFERROR(VLOOKUP(F19,DinnerTable[],4,FALSE),0)) + (E20 * IFERROR(VLOOKUP(F20,DinnerTable[],4,FALSE),0)) + (E21 * IFERROR(VLOOKUP(F21,DinnerTable[],4,FALSE),0))</f>
        <v>181</v>
      </c>
    </row>
    <row r="18" spans="1:16" ht="15.75" thickTop="1" x14ac:dyDescent="0.25">
      <c r="A18" s="17">
        <v>1</v>
      </c>
      <c r="B18" s="17" t="s">
        <v>26</v>
      </c>
      <c r="C18" s="17">
        <v>0.75</v>
      </c>
      <c r="D18" s="17" t="s">
        <v>79</v>
      </c>
      <c r="E18" s="17">
        <v>0.5</v>
      </c>
      <c r="F18" s="17" t="s">
        <v>45</v>
      </c>
      <c r="G18" s="17"/>
      <c r="H18" s="17"/>
      <c r="I18" s="2"/>
      <c r="J18" s="2"/>
      <c r="K18" s="2"/>
      <c r="L18" s="57"/>
      <c r="M18" s="61" t="s">
        <v>35</v>
      </c>
      <c r="N18" s="61">
        <f>(G18 * IFERROR(VLOOKUP(H18,PostWorkoutTable[],2,FALSE),0)) + (G19 * IFERROR(VLOOKUP(H19,PostWorkoutTable[],2,FALSE),0)) + (G20 * IFERROR(VLOOKUP(H20,PostWorkoutTable[],2,FALSE),0)) + (G21 * IFERROR(VLOOKUP(H21,PostWorkoutTable[],2,FALSE),0))</f>
        <v>0</v>
      </c>
      <c r="O18" s="61">
        <f>(G18 * IFERROR(VLOOKUP(H18,PostWorkoutTable[],3,FALSE),0)) + (G19 * IFERROR(VLOOKUP(H19,PostWorkoutTable[],3,FALSE),0)) + (G20 * IFERROR(VLOOKUP(H20,PostWorkoutTable[],3,FALSE),0)) + (G21 * IFERROR(VLOOKUP(H21,PostWorkoutTable[],3,FALSE),0))</f>
        <v>0</v>
      </c>
      <c r="P18" s="61">
        <f>(G18 * IFERROR(VLOOKUP(H18,PostWorkoutTable[],4,FALSE),0)) + (G19 * IFERROR(VLOOKUP(H19,PostWorkoutTable[],4,FALSE),0)) + (G20 * IFERROR(VLOOKUP(H20,PostWorkoutTable[],4,FALSE),0)) + (G21 * IFERROR(VLOOKUP(H21,PostWorkoutTable[],4,FALSE),0))</f>
        <v>0</v>
      </c>
    </row>
    <row r="19" spans="1:16" x14ac:dyDescent="0.25">
      <c r="A19" s="17">
        <v>1</v>
      </c>
      <c r="B19" s="17" t="s">
        <v>27</v>
      </c>
      <c r="C19" s="17">
        <v>1</v>
      </c>
      <c r="D19" s="17" t="s">
        <v>91</v>
      </c>
      <c r="E19" s="17">
        <v>1</v>
      </c>
      <c r="F19" s="17" t="s">
        <v>56</v>
      </c>
      <c r="G19" s="17"/>
      <c r="H19" s="17"/>
      <c r="I19" s="2"/>
      <c r="J19" s="2"/>
      <c r="K19" s="2"/>
      <c r="L19" s="57"/>
      <c r="M19" s="61" t="s">
        <v>21</v>
      </c>
      <c r="N19" s="61">
        <f xml:space="preserve"> SUM(I18:I21)</f>
        <v>0</v>
      </c>
      <c r="O19" s="61">
        <f>SUM(J18:J21)</f>
        <v>0</v>
      </c>
      <c r="P19" s="61">
        <f>SUM(K18:K21)</f>
        <v>0</v>
      </c>
    </row>
    <row r="20" spans="1:16" x14ac:dyDescent="0.25">
      <c r="A20" s="17"/>
      <c r="B20" s="17"/>
      <c r="C20" s="17">
        <v>0.5</v>
      </c>
      <c r="D20" s="17" t="s">
        <v>45</v>
      </c>
      <c r="E20" s="17">
        <v>0.25</v>
      </c>
      <c r="F20" s="17" t="s">
        <v>44</v>
      </c>
      <c r="G20" s="17"/>
      <c r="H20" s="17"/>
      <c r="I20" s="2"/>
      <c r="J20" s="2"/>
      <c r="K20" s="2"/>
      <c r="L20" s="57"/>
      <c r="M20" s="61" t="s">
        <v>38</v>
      </c>
      <c r="N20" s="61">
        <f>SUM(N15:N19)</f>
        <v>146.1</v>
      </c>
      <c r="O20" s="61">
        <f>SUM(O15:O19)</f>
        <v>114.1</v>
      </c>
      <c r="P20" s="61">
        <f>SUM(P15:P19)</f>
        <v>354.1</v>
      </c>
    </row>
    <row r="21" spans="1:16" x14ac:dyDescent="0.25">
      <c r="A21" s="17"/>
      <c r="B21" s="17"/>
      <c r="C21" s="17">
        <v>0.5</v>
      </c>
      <c r="D21" s="17" t="s">
        <v>92</v>
      </c>
      <c r="E21" s="17">
        <v>2</v>
      </c>
      <c r="F21" s="17" t="s">
        <v>68</v>
      </c>
      <c r="G21" s="17"/>
      <c r="H21" s="17"/>
      <c r="I21" s="2"/>
      <c r="J21" s="2"/>
      <c r="K21" s="2"/>
      <c r="L21" s="57"/>
      <c r="M21" s="57"/>
      <c r="N21" s="57"/>
      <c r="O21" s="57"/>
      <c r="P21" s="57"/>
    </row>
    <row r="22" spans="1:16" x14ac:dyDescent="0.25">
      <c r="A22" s="57"/>
      <c r="B22" s="57"/>
      <c r="C22" s="57"/>
      <c r="D22" s="57"/>
      <c r="E22" s="57"/>
      <c r="F22" s="57"/>
      <c r="G22" s="57"/>
      <c r="H22" s="57"/>
      <c r="I22" s="57"/>
      <c r="J22" s="57"/>
      <c r="K22" s="57"/>
      <c r="L22" s="57"/>
      <c r="M22" s="57"/>
      <c r="N22" s="57"/>
      <c r="O22" s="57"/>
      <c r="P22" s="57"/>
    </row>
    <row r="23" spans="1:16" ht="23.25" x14ac:dyDescent="0.35">
      <c r="A23" s="63">
        <v>43593</v>
      </c>
      <c r="B23" s="57"/>
      <c r="C23" s="57"/>
      <c r="D23" s="57"/>
      <c r="E23" s="57"/>
      <c r="F23" s="57"/>
      <c r="G23" s="57"/>
      <c r="H23" s="57"/>
      <c r="I23" s="57"/>
      <c r="J23" s="57"/>
      <c r="K23" s="57"/>
      <c r="L23" s="57"/>
      <c r="M23" s="57"/>
      <c r="N23" s="57"/>
      <c r="O23" s="57"/>
      <c r="P23" s="57"/>
    </row>
    <row r="24" spans="1:16" ht="18" thickBot="1" x14ac:dyDescent="0.35">
      <c r="A24" s="3" t="s">
        <v>48</v>
      </c>
      <c r="B24" s="3" t="s">
        <v>0</v>
      </c>
      <c r="C24" s="3" t="s">
        <v>36</v>
      </c>
      <c r="D24" s="3" t="s">
        <v>8</v>
      </c>
      <c r="E24" s="5" t="s">
        <v>9</v>
      </c>
      <c r="F24" s="5" t="s">
        <v>10</v>
      </c>
      <c r="G24" s="59"/>
      <c r="H24" s="60"/>
      <c r="I24" s="57"/>
      <c r="J24" s="57"/>
      <c r="K24" s="57"/>
      <c r="L24" s="57"/>
      <c r="M24" s="59"/>
      <c r="N24" s="61" t="s">
        <v>8</v>
      </c>
      <c r="O24" s="61" t="s">
        <v>9</v>
      </c>
      <c r="P24" s="61" t="s">
        <v>10</v>
      </c>
    </row>
    <row r="25" spans="1:16" ht="15.75" thickTop="1" x14ac:dyDescent="0.25">
      <c r="A25" s="18">
        <v>43591</v>
      </c>
      <c r="B25" s="16">
        <f>IFERROR(VLOOKUP(A25,OverviewTable[],2,FALSE),"?")</f>
        <v>133.4</v>
      </c>
      <c r="C25" s="16" t="str">
        <f>((N30 * 4) + (O30 * 9) + (P30 * 4))&amp;"/"&amp;IFERROR(VLOOKUP(A25,OverviewTable[],11,FALSE),"?")</f>
        <v>2109.1/2384.4</v>
      </c>
      <c r="D25" s="16" t="str">
        <f>N30&amp;"/"&amp;IFERROR(VLOOKUP(A25,OverviewTable[],12,FALSE),"?")</f>
        <v>111.5/133</v>
      </c>
      <c r="E25" s="16" t="str">
        <f>O30&amp;"/"&amp;IFERROR(VLOOKUP(A25,OverviewTable[],13,FALSE),"?")</f>
        <v>79.1/66</v>
      </c>
      <c r="F25" s="16" t="str">
        <f>P30&amp;"/"&amp;IFERROR(VLOOKUP(A25,OverviewTable[],14,FALSE),"?")</f>
        <v>237.8/315</v>
      </c>
      <c r="G25" s="60"/>
      <c r="H25" s="60"/>
      <c r="I25" s="57"/>
      <c r="J25" s="57"/>
      <c r="K25" s="57"/>
      <c r="L25" s="57"/>
      <c r="M25" s="61" t="s">
        <v>6</v>
      </c>
      <c r="N25" s="61">
        <f>(A28 * IFERROR(VLOOKUP(B28,BreakfastTable[],2,FALSE),0)) + (A29 * IFERROR(VLOOKUP(B29,BreakfastTable[],2,FALSE),0)) + (A30 * IFERROR(VLOOKUP(B30,BreakfastTable[],2,FALSE),0)) + (A31 * IFERROR(VLOOKUP(B31,BreakfastTable[],2,FALSE),0))</f>
        <v>10</v>
      </c>
      <c r="O25" s="61">
        <f>(A28 * IFERROR(VLOOKUP(B28,BreakfastTable[],3,FALSE),0)) + (A29 * IFERROR(VLOOKUP(B29,BreakfastTable[],3,FALSE),0)) + (A30 * IFERROR(VLOOKUP(B30,BreakfastTable[],3,FALSE),0)) + (A31 * IFERROR(VLOOKUP(B31,BreakfastTable[],3,FALSE),0))</f>
        <v>4.5</v>
      </c>
      <c r="P25" s="61">
        <f>(A28 * IFERROR(VLOOKUP(B28,BreakfastTable[],4,FALSE),0)) + (A29 * IFERROR(VLOOKUP(B29,BreakfastTable[],4,FALSE),0)) + (A30 * IFERROR(VLOOKUP(B30,BreakfastTable[],4,FALSE),0)) + (A31 * IFERROR(VLOOKUP(B31,BreakfastTable[],4,FALSE),0))</f>
        <v>15</v>
      </c>
    </row>
    <row r="26" spans="1:16" x14ac:dyDescent="0.25">
      <c r="A26" s="17"/>
      <c r="B26" s="17"/>
      <c r="C26" s="17"/>
      <c r="D26" s="17"/>
      <c r="E26" s="17"/>
      <c r="F26" s="17"/>
      <c r="G26" s="60"/>
      <c r="H26" s="60"/>
      <c r="I26" s="57"/>
      <c r="J26" s="57"/>
      <c r="K26" s="57"/>
      <c r="L26" s="57"/>
      <c r="M26" s="61" t="s">
        <v>11</v>
      </c>
      <c r="N26" s="61">
        <f>(C28 * IFERROR(VLOOKUP(D28,LunchTable[],2,FALSE),0)) + (C29 * IFERROR(VLOOKUP(D29,LunchTable[],2,FALSE),0)) + (C30 * IFERROR(VLOOKUP(D30,LunchTable[],2,FALSE),0)) + (C31 * IFERROR(VLOOKUP(D31,LunchTable[],2,FALSE),0))</f>
        <v>47</v>
      </c>
      <c r="O26" s="61">
        <f>(C28 * IFERROR(VLOOKUP(D28,LunchTable[],3,FALSE),0)) + (C29 * IFERROR(VLOOKUP(D29,LunchTable[],3,FALSE),0)) + (C30 * IFERROR(VLOOKUP(D30,LunchTable[],3,FALSE),0)) + (C31 * IFERROR(VLOOKUP(D31,LunchTable[],3,FALSE),0))</f>
        <v>36</v>
      </c>
      <c r="P26" s="61">
        <f>(C28 * IFERROR(VLOOKUP(D28,LunchTable[],4,FALSE),0)) + (C29 * IFERROR(VLOOKUP(D29,LunchTable[],4,FALSE),0)) + (C30 * IFERROR(VLOOKUP(D30,LunchTable[],4,FALSE),0)) + (C31 * IFERROR(VLOOKUP(D31,LunchTable[],4,FALSE),0))</f>
        <v>144.5</v>
      </c>
    </row>
    <row r="27" spans="1:16" ht="18" thickBot="1" x14ac:dyDescent="0.35">
      <c r="A27" s="10" t="s">
        <v>34</v>
      </c>
      <c r="B27" s="11" t="s">
        <v>6</v>
      </c>
      <c r="C27" s="10" t="s">
        <v>34</v>
      </c>
      <c r="D27" s="11" t="s">
        <v>11</v>
      </c>
      <c r="E27" s="10" t="s">
        <v>34</v>
      </c>
      <c r="F27" s="11" t="s">
        <v>12</v>
      </c>
      <c r="G27" s="10" t="s">
        <v>34</v>
      </c>
      <c r="H27" s="12" t="s">
        <v>35</v>
      </c>
      <c r="I27" s="5" t="s">
        <v>41</v>
      </c>
      <c r="J27" s="5" t="s">
        <v>42</v>
      </c>
      <c r="K27" s="5" t="s">
        <v>43</v>
      </c>
      <c r="L27" s="57"/>
      <c r="M27" s="61" t="s">
        <v>12</v>
      </c>
      <c r="N27" s="61">
        <f>(E28 * IFERROR(VLOOKUP(F28,DinnerTable[],2,FALSE),0)) + (E29 * IFERROR(VLOOKUP(F29,DinnerTable[],2,FALSE),0)) + (E30 * IFERROR(VLOOKUP(F30,DinnerTable[],2,FALSE),0)) + (E31 * IFERROR(VLOOKUP(F31,DinnerTable[],2,FALSE),0))</f>
        <v>0</v>
      </c>
      <c r="O27" s="61">
        <f>(E28 * IFERROR(VLOOKUP(F28,DinnerTable[],3,FALSE),0)) + (E29 * IFERROR(VLOOKUP(F29,DinnerTable[],3,FALSE),0)) + (E30 * IFERROR(VLOOKUP(F30,DinnerTable[],3,FALSE),0)) + (E31 * IFERROR(VLOOKUP(F31,DinnerTable[],3,FALSE),0))</f>
        <v>0</v>
      </c>
      <c r="P27" s="61">
        <f>(E28 * IFERROR(VLOOKUP(F28,DinnerTable[],4,FALSE),0)) + (E29 * IFERROR(VLOOKUP(F29,DinnerTable[],4,FALSE),0)) + (E30 * IFERROR(VLOOKUP(F30,DinnerTable[],4,FALSE),0)) + (E31 * IFERROR(VLOOKUP(F31,DinnerTable[],4,FALSE),0))</f>
        <v>0</v>
      </c>
    </row>
    <row r="28" spans="1:16" ht="15.75" thickTop="1" x14ac:dyDescent="0.25">
      <c r="A28" s="17">
        <v>0.5</v>
      </c>
      <c r="B28" s="17" t="s">
        <v>26</v>
      </c>
      <c r="C28" s="17">
        <v>1</v>
      </c>
      <c r="D28" s="17" t="s">
        <v>25</v>
      </c>
      <c r="E28" s="17"/>
      <c r="F28" s="17"/>
      <c r="G28" s="17"/>
      <c r="H28" s="17"/>
      <c r="I28" s="2">
        <v>41</v>
      </c>
      <c r="J28" s="2">
        <v>34</v>
      </c>
      <c r="K28" s="2">
        <v>2</v>
      </c>
      <c r="L28" s="57"/>
      <c r="M28" s="61" t="s">
        <v>35</v>
      </c>
      <c r="N28" s="61">
        <f>(G28 * IFERROR(VLOOKUP(H28,PostWorkoutTable[],2,FALSE),0)) + (G29 * IFERROR(VLOOKUP(H29,PostWorkoutTable[],2,FALSE),0)) + (G30 * IFERROR(VLOOKUP(H30,PostWorkoutTable[],2,FALSE),0)) + (G31 * IFERROR(VLOOKUP(H31,PostWorkoutTable[],2,FALSE),0))</f>
        <v>0</v>
      </c>
      <c r="O28" s="61">
        <f>(G28 * IFERROR(VLOOKUP(H28,PostWorkoutTable[],3,FALSE),0)) + (G29 * IFERROR(VLOOKUP(H29,PostWorkoutTable[],3,FALSE),0)) + (G30 * IFERROR(VLOOKUP(H30,PostWorkoutTable[],3,FALSE),0)) + (G31 * IFERROR(VLOOKUP(H31,PostWorkoutTable[],3,FALSE),0))</f>
        <v>0</v>
      </c>
      <c r="P28" s="61">
        <f>(G28 * IFERROR(VLOOKUP(H28,PostWorkoutTable[],4,FALSE),0)) + (G29 * IFERROR(VLOOKUP(H29,PostWorkoutTable[],4,FALSE),0)) + (G30 * IFERROR(VLOOKUP(H30,PostWorkoutTable[],4,FALSE),0)) + (G31 * IFERROR(VLOOKUP(H31,PostWorkoutTable[],4,FALSE),0))</f>
        <v>0</v>
      </c>
    </row>
    <row r="29" spans="1:16" x14ac:dyDescent="0.25">
      <c r="A29" s="17"/>
      <c r="B29" s="17"/>
      <c r="C29" s="17">
        <v>1</v>
      </c>
      <c r="D29" s="17" t="s">
        <v>55</v>
      </c>
      <c r="E29" s="17"/>
      <c r="F29" s="17"/>
      <c r="G29" s="17"/>
      <c r="H29" s="17"/>
      <c r="I29" s="2">
        <v>4.3</v>
      </c>
      <c r="J29" s="2">
        <v>0.2</v>
      </c>
      <c r="K29" s="2">
        <v>37</v>
      </c>
      <c r="L29" s="57"/>
      <c r="M29" s="61" t="s">
        <v>21</v>
      </c>
      <c r="N29" s="61">
        <f xml:space="preserve"> SUM(I28:I31)</f>
        <v>54.499999999999993</v>
      </c>
      <c r="O29" s="61">
        <f>SUM(J28:J31)</f>
        <v>38.6</v>
      </c>
      <c r="P29" s="61">
        <f>SUM(K28:K31)</f>
        <v>78.3</v>
      </c>
    </row>
    <row r="30" spans="1:16" x14ac:dyDescent="0.25">
      <c r="A30" s="17"/>
      <c r="B30" s="17"/>
      <c r="C30" s="17">
        <v>2</v>
      </c>
      <c r="D30" s="17" t="s">
        <v>100</v>
      </c>
      <c r="E30" s="17"/>
      <c r="F30" s="17"/>
      <c r="G30" s="17"/>
      <c r="H30" s="17"/>
      <c r="I30" s="2">
        <v>4.8</v>
      </c>
      <c r="J30" s="2">
        <v>3.6</v>
      </c>
      <c r="K30" s="2">
        <v>26</v>
      </c>
      <c r="L30" s="57"/>
      <c r="M30" s="61" t="s">
        <v>38</v>
      </c>
      <c r="N30" s="61">
        <f>SUM(N25:N29)</f>
        <v>111.5</v>
      </c>
      <c r="O30" s="61">
        <f>SUM(O25:O29)</f>
        <v>79.099999999999994</v>
      </c>
      <c r="P30" s="61">
        <f>SUM(P25:P29)</f>
        <v>237.8</v>
      </c>
    </row>
    <row r="31" spans="1:16" x14ac:dyDescent="0.25">
      <c r="A31" s="17"/>
      <c r="B31" s="17"/>
      <c r="C31" s="17"/>
      <c r="D31" s="17"/>
      <c r="E31" s="17"/>
      <c r="F31" s="17"/>
      <c r="G31" s="17"/>
      <c r="H31" s="17"/>
      <c r="I31" s="2">
        <v>4.4000000000000004</v>
      </c>
      <c r="J31" s="2">
        <v>0.8</v>
      </c>
      <c r="K31" s="2">
        <v>13.3</v>
      </c>
      <c r="L31" s="57"/>
      <c r="M31" s="57"/>
      <c r="N31" s="57"/>
      <c r="O31" s="57"/>
      <c r="P31" s="57"/>
    </row>
    <row r="32" spans="1:16" x14ac:dyDescent="0.25">
      <c r="A32" s="57"/>
      <c r="B32" s="57"/>
      <c r="C32" s="57"/>
      <c r="D32" s="57"/>
      <c r="E32" s="57"/>
      <c r="F32" s="57"/>
      <c r="G32" s="57"/>
      <c r="H32" s="57"/>
      <c r="I32" s="57">
        <f>SUM(I28:I31)</f>
        <v>54.499999999999993</v>
      </c>
      <c r="J32" s="57">
        <f>SUM(J28:J31)</f>
        <v>38.6</v>
      </c>
      <c r="K32" s="57">
        <f>SUM(K28:K31)</f>
        <v>78.3</v>
      </c>
      <c r="L32" s="57"/>
      <c r="M32" s="57"/>
      <c r="N32" s="57"/>
      <c r="O32" s="57"/>
      <c r="P32" s="57"/>
    </row>
    <row r="33" spans="1:16" ht="23.25" x14ac:dyDescent="0.35">
      <c r="A33" s="63">
        <v>43594</v>
      </c>
      <c r="B33" s="57"/>
      <c r="C33" s="57"/>
      <c r="D33" s="57"/>
      <c r="E33" s="57"/>
      <c r="F33" s="57"/>
      <c r="G33" s="57"/>
      <c r="H33" s="57"/>
      <c r="I33" s="57"/>
      <c r="J33" s="57"/>
      <c r="K33" s="57"/>
      <c r="L33" s="57"/>
      <c r="M33" s="57"/>
      <c r="N33" s="57"/>
      <c r="O33" s="57"/>
      <c r="P33" s="57"/>
    </row>
    <row r="34" spans="1:16" ht="18" thickBot="1" x14ac:dyDescent="0.35">
      <c r="A34" s="3" t="s">
        <v>48</v>
      </c>
      <c r="B34" s="3" t="s">
        <v>0</v>
      </c>
      <c r="C34" s="3" t="s">
        <v>36</v>
      </c>
      <c r="D34" s="3" t="s">
        <v>8</v>
      </c>
      <c r="E34" s="5" t="s">
        <v>9</v>
      </c>
      <c r="F34" s="5" t="s">
        <v>10</v>
      </c>
      <c r="G34" s="59"/>
      <c r="H34" s="60"/>
      <c r="I34" s="57"/>
      <c r="J34" s="57"/>
      <c r="K34" s="57"/>
      <c r="L34" s="57"/>
      <c r="M34" s="59"/>
      <c r="N34" s="61" t="s">
        <v>8</v>
      </c>
      <c r="O34" s="61" t="s">
        <v>9</v>
      </c>
      <c r="P34" s="61" t="s">
        <v>10</v>
      </c>
    </row>
    <row r="35" spans="1:16" ht="15.75" thickTop="1" x14ac:dyDescent="0.25">
      <c r="A35" s="18">
        <v>43591</v>
      </c>
      <c r="B35" s="16">
        <f>IFERROR(VLOOKUP(A35,OverviewTable[],2,FALSE),"?")</f>
        <v>133.4</v>
      </c>
      <c r="C35" s="16" t="str">
        <f>((N40 * 4) + (O40 * 9) + (P40 * 4))&amp;"/"&amp;IFERROR(VLOOKUP(A35,OverviewTable[],11,FALSE),"?")</f>
        <v>2839.75/2384.4</v>
      </c>
      <c r="D35" s="16" t="str">
        <f>N40&amp;"/"&amp;IFERROR(VLOOKUP(A35,OverviewTable[],12,FALSE),"?")</f>
        <v>160/133</v>
      </c>
      <c r="E35" s="16" t="str">
        <f>O40&amp;"/"&amp;IFERROR(VLOOKUP(A35,OverviewTable[],13,FALSE),"?")</f>
        <v>109.95/66</v>
      </c>
      <c r="F35" s="16" t="str">
        <f>P40&amp;"/"&amp;IFERROR(VLOOKUP(A35,OverviewTable[],14,FALSE),"?")</f>
        <v>302.55/315</v>
      </c>
      <c r="G35" s="60"/>
      <c r="H35" s="60"/>
      <c r="I35" s="57"/>
      <c r="J35" s="57"/>
      <c r="K35" s="57"/>
      <c r="L35" s="57"/>
      <c r="M35" s="61" t="s">
        <v>6</v>
      </c>
      <c r="N35" s="61">
        <f>(A38 * IFERROR(VLOOKUP(B38,BreakfastTable[],2,FALSE),0)) + (A39 * IFERROR(VLOOKUP(B39,BreakfastTable[],2,FALSE),0)) + (A40 * IFERROR(VLOOKUP(B40,BreakfastTable[],2,FALSE),0)) + (A41 * IFERROR(VLOOKUP(B41,BreakfastTable[],2,FALSE),0))</f>
        <v>0.8</v>
      </c>
      <c r="O35" s="61">
        <f>(A38 * IFERROR(VLOOKUP(B38,BreakfastTable[],3,FALSE),0)) + (A39 * IFERROR(VLOOKUP(B39,BreakfastTable[],3,FALSE),0)) + (A40 * IFERROR(VLOOKUP(B40,BreakfastTable[],3,FALSE),0)) + (A41 * IFERROR(VLOOKUP(B41,BreakfastTable[],3,FALSE),0))</f>
        <v>0.25</v>
      </c>
      <c r="P35" s="61">
        <f>(A38 * IFERROR(VLOOKUP(B38,BreakfastTable[],4,FALSE),0)) + (A39 * IFERROR(VLOOKUP(B39,BreakfastTable[],4,FALSE),0)) + (A40 * IFERROR(VLOOKUP(B40,BreakfastTable[],4,FALSE),0)) + (A41 * IFERROR(VLOOKUP(B41,BreakfastTable[],4,FALSE),0))</f>
        <v>17.149999999999999</v>
      </c>
    </row>
    <row r="36" spans="1:16" x14ac:dyDescent="0.25">
      <c r="A36" s="17"/>
      <c r="B36" s="17"/>
      <c r="C36" s="17"/>
      <c r="D36" s="17"/>
      <c r="E36" s="17"/>
      <c r="F36" s="17"/>
      <c r="G36" s="60"/>
      <c r="H36" s="60"/>
      <c r="I36" s="57"/>
      <c r="J36" s="57"/>
      <c r="K36" s="57"/>
      <c r="L36" s="57"/>
      <c r="M36" s="61" t="s">
        <v>11</v>
      </c>
      <c r="N36" s="61">
        <f>(C38 * IFERROR(VLOOKUP(D38,LunchTable[],2,FALSE),0)) + (C39 * IFERROR(VLOOKUP(D39,LunchTable[],2,FALSE),0)) + (C40 * IFERROR(VLOOKUP(D40,LunchTable[],2,FALSE),0)) + (C41 * IFERROR(VLOOKUP(D41,LunchTable[],2,FALSE),0))</f>
        <v>52</v>
      </c>
      <c r="O36" s="61">
        <f>(C38 * IFERROR(VLOOKUP(D38,LunchTable[],3,FALSE),0)) + (C39 * IFERROR(VLOOKUP(D39,LunchTable[],3,FALSE),0)) + (C40 * IFERROR(VLOOKUP(D40,LunchTable[],3,FALSE),0)) + (C41 * IFERROR(VLOOKUP(D41,LunchTable[],3,FALSE),0))</f>
        <v>19.5</v>
      </c>
      <c r="P36" s="61">
        <f>(C38 * IFERROR(VLOOKUP(D38,LunchTable[],4,FALSE),0)) + (C39 * IFERROR(VLOOKUP(D39,LunchTable[],4,FALSE),0)) + (C40 * IFERROR(VLOOKUP(D40,LunchTable[],4,FALSE),0)) + (C41 * IFERROR(VLOOKUP(D41,LunchTable[],4,FALSE),0))</f>
        <v>33</v>
      </c>
    </row>
    <row r="37" spans="1:16" ht="18" thickBot="1" x14ac:dyDescent="0.35">
      <c r="A37" s="10" t="s">
        <v>34</v>
      </c>
      <c r="B37" s="11" t="s">
        <v>6</v>
      </c>
      <c r="C37" s="10" t="s">
        <v>34</v>
      </c>
      <c r="D37" s="11" t="s">
        <v>11</v>
      </c>
      <c r="E37" s="10" t="s">
        <v>34</v>
      </c>
      <c r="F37" s="11" t="s">
        <v>12</v>
      </c>
      <c r="G37" s="10" t="s">
        <v>34</v>
      </c>
      <c r="H37" s="12" t="s">
        <v>35</v>
      </c>
      <c r="I37" s="5" t="s">
        <v>41</v>
      </c>
      <c r="J37" s="5" t="s">
        <v>42</v>
      </c>
      <c r="K37" s="5" t="s">
        <v>43</v>
      </c>
      <c r="L37" s="57"/>
      <c r="M37" s="61" t="s">
        <v>12</v>
      </c>
      <c r="N37" s="61">
        <f>(E38 * IFERROR(VLOOKUP(F38,DinnerTable[],2,FALSE),0)) + (E39 * IFERROR(VLOOKUP(F39,DinnerTable[],2,FALSE),0)) + (E40 * IFERROR(VLOOKUP(F40,DinnerTable[],2,FALSE),0)) + (E41 * IFERROR(VLOOKUP(F41,DinnerTable[],2,FALSE),0))</f>
        <v>75</v>
      </c>
      <c r="O37" s="61">
        <f>(E38 * IFERROR(VLOOKUP(F38,DinnerTable[],3,FALSE),0)) + (E39 * IFERROR(VLOOKUP(F39,DinnerTable[],3,FALSE),0)) + (E40 * IFERROR(VLOOKUP(F40,DinnerTable[],3,FALSE),0)) + (E41 * IFERROR(VLOOKUP(F41,DinnerTable[],3,FALSE),0))</f>
        <v>75.5</v>
      </c>
      <c r="P37" s="61">
        <f>(E38 * IFERROR(VLOOKUP(F38,DinnerTable[],4,FALSE),0)) + (E39 * IFERROR(VLOOKUP(F39,DinnerTable[],4,FALSE),0)) + (E40 * IFERROR(VLOOKUP(F40,DinnerTable[],4,FALSE),0)) + (E41 * IFERROR(VLOOKUP(F41,DinnerTable[],4,FALSE),0))</f>
        <v>197</v>
      </c>
    </row>
    <row r="38" spans="1:16" ht="15.75" thickTop="1" x14ac:dyDescent="0.25">
      <c r="A38" s="17">
        <v>0.5</v>
      </c>
      <c r="B38" s="17" t="s">
        <v>27</v>
      </c>
      <c r="C38" s="17">
        <v>2</v>
      </c>
      <c r="D38" s="17" t="s">
        <v>57</v>
      </c>
      <c r="E38" s="17">
        <v>0.5</v>
      </c>
      <c r="F38" s="17" t="s">
        <v>45</v>
      </c>
      <c r="G38" s="17">
        <v>1</v>
      </c>
      <c r="H38" s="17" t="s">
        <v>97</v>
      </c>
      <c r="I38" s="2"/>
      <c r="J38" s="2"/>
      <c r="K38" s="2"/>
      <c r="L38" s="57"/>
      <c r="M38" s="61" t="s">
        <v>35</v>
      </c>
      <c r="N38" s="61">
        <f>(G38 * IFERROR(VLOOKUP(H38,PostWorkoutTable[],2,FALSE),0)) + (G39 * IFERROR(VLOOKUP(H39,PostWorkoutTable[],2,FALSE),0)) + (G40 * IFERROR(VLOOKUP(H40,PostWorkoutTable[],2,FALSE),0)) + (G41 * IFERROR(VLOOKUP(H41,PostWorkoutTable[],2,FALSE),0))</f>
        <v>32.200000000000003</v>
      </c>
      <c r="O38" s="61">
        <f>(G38 * IFERROR(VLOOKUP(H38,PostWorkoutTable[],3,FALSE),0)) + (G39 * IFERROR(VLOOKUP(H39,PostWorkoutTable[],3,FALSE),0)) + (G40 * IFERROR(VLOOKUP(H40,PostWorkoutTable[],3,FALSE),0)) + (G41 * IFERROR(VLOOKUP(H41,PostWorkoutTable[],3,FALSE),0))</f>
        <v>14.7</v>
      </c>
      <c r="P38" s="61">
        <f>(G38 * IFERROR(VLOOKUP(H38,PostWorkoutTable[],4,FALSE),0)) + (G39 * IFERROR(VLOOKUP(H39,PostWorkoutTable[],4,FALSE),0)) + (G40 * IFERROR(VLOOKUP(H40,PostWorkoutTable[],4,FALSE),0)) + (G41 * IFERROR(VLOOKUP(H41,PostWorkoutTable[],4,FALSE),0))</f>
        <v>55.4</v>
      </c>
    </row>
    <row r="39" spans="1:16" x14ac:dyDescent="0.25">
      <c r="A39" s="17"/>
      <c r="B39" s="17"/>
      <c r="C39" s="17">
        <v>2</v>
      </c>
      <c r="D39" s="17" t="s">
        <v>90</v>
      </c>
      <c r="E39" s="17">
        <v>1</v>
      </c>
      <c r="F39" s="17" t="s">
        <v>56</v>
      </c>
      <c r="G39" s="17"/>
      <c r="H39" s="17"/>
      <c r="I39" s="2"/>
      <c r="J39" s="2"/>
      <c r="K39" s="2"/>
      <c r="L39" s="57"/>
      <c r="M39" s="61" t="s">
        <v>21</v>
      </c>
      <c r="N39" s="61">
        <f xml:space="preserve"> SUM(I38:I41)</f>
        <v>0</v>
      </c>
      <c r="O39" s="61">
        <f>SUM(J38:J41)</f>
        <v>0</v>
      </c>
      <c r="P39" s="61">
        <f>SUM(K38:K41)</f>
        <v>0</v>
      </c>
    </row>
    <row r="40" spans="1:16" x14ac:dyDescent="0.25">
      <c r="A40" s="17"/>
      <c r="B40" s="17"/>
      <c r="C40" s="17">
        <v>0.25</v>
      </c>
      <c r="D40" s="17" t="s">
        <v>51</v>
      </c>
      <c r="E40" s="17">
        <v>0.25</v>
      </c>
      <c r="F40" s="17" t="s">
        <v>44</v>
      </c>
      <c r="G40" s="17"/>
      <c r="H40" s="17"/>
      <c r="I40" s="2"/>
      <c r="J40" s="2"/>
      <c r="K40" s="2"/>
      <c r="L40" s="57"/>
      <c r="M40" s="61" t="s">
        <v>38</v>
      </c>
      <c r="N40" s="61">
        <f>SUM(N35:N39)</f>
        <v>160</v>
      </c>
      <c r="O40" s="61">
        <f>SUM(O35:O39)</f>
        <v>109.95</v>
      </c>
      <c r="P40" s="61">
        <f>SUM(P35:P39)</f>
        <v>302.55</v>
      </c>
    </row>
    <row r="41" spans="1:16" x14ac:dyDescent="0.25">
      <c r="A41" s="17"/>
      <c r="B41" s="17"/>
      <c r="C41" s="17">
        <v>0.25</v>
      </c>
      <c r="D41" s="17" t="s">
        <v>52</v>
      </c>
      <c r="E41" s="17">
        <v>3</v>
      </c>
      <c r="F41" s="17" t="s">
        <v>68</v>
      </c>
      <c r="G41" s="17"/>
      <c r="H41" s="17"/>
      <c r="I41" s="2"/>
      <c r="J41" s="2"/>
      <c r="K41" s="2"/>
      <c r="L41" s="57"/>
      <c r="M41" s="57"/>
      <c r="N41" s="57"/>
      <c r="O41" s="57"/>
      <c r="P41" s="57"/>
    </row>
    <row r="42" spans="1:16" x14ac:dyDescent="0.25">
      <c r="A42" s="57"/>
      <c r="B42" s="57"/>
      <c r="C42" s="57"/>
      <c r="D42" s="57"/>
      <c r="E42" s="57"/>
      <c r="F42" s="57"/>
      <c r="G42" s="57"/>
      <c r="H42" s="57"/>
      <c r="I42" s="57"/>
      <c r="J42" s="57"/>
      <c r="K42" s="57"/>
      <c r="L42" s="57"/>
      <c r="M42" s="57"/>
      <c r="N42" s="57"/>
      <c r="O42" s="57"/>
      <c r="P42" s="57"/>
    </row>
    <row r="43" spans="1:16" ht="23.25" x14ac:dyDescent="0.35">
      <c r="A43" s="63">
        <v>43595</v>
      </c>
      <c r="B43" s="57"/>
      <c r="C43" s="57"/>
      <c r="D43" s="57"/>
      <c r="E43" s="57"/>
      <c r="F43" s="57"/>
      <c r="G43" s="57"/>
      <c r="H43" s="57"/>
      <c r="I43" s="57"/>
      <c r="J43" s="57"/>
      <c r="K43" s="57"/>
      <c r="L43" s="57"/>
      <c r="M43" s="57"/>
      <c r="N43" s="57"/>
      <c r="O43" s="57"/>
      <c r="P43" s="57"/>
    </row>
    <row r="44" spans="1:16" ht="18" thickBot="1" x14ac:dyDescent="0.35">
      <c r="A44" s="3" t="s">
        <v>48</v>
      </c>
      <c r="B44" s="3" t="s">
        <v>0</v>
      </c>
      <c r="C44" s="3" t="s">
        <v>36</v>
      </c>
      <c r="D44" s="3" t="s">
        <v>8</v>
      </c>
      <c r="E44" s="5" t="s">
        <v>9</v>
      </c>
      <c r="F44" s="5" t="s">
        <v>10</v>
      </c>
      <c r="G44" s="59"/>
      <c r="H44" s="60"/>
      <c r="I44" s="57"/>
      <c r="J44" s="57"/>
      <c r="K44" s="57"/>
      <c r="L44" s="57"/>
      <c r="M44" s="59"/>
      <c r="N44" s="61" t="s">
        <v>8</v>
      </c>
      <c r="O44" s="61" t="s">
        <v>9</v>
      </c>
      <c r="P44" s="61" t="s">
        <v>10</v>
      </c>
    </row>
    <row r="45" spans="1:16" ht="15.75" thickTop="1" x14ac:dyDescent="0.25">
      <c r="A45" s="18">
        <v>43591</v>
      </c>
      <c r="B45" s="16">
        <f>IFERROR(VLOOKUP(A45,OverviewTable[],2,FALSE),"?")</f>
        <v>133.4</v>
      </c>
      <c r="C45" s="16" t="str">
        <f>((N50 * 4) + (O50 * 9) + (P50 * 4))&amp;"/"&amp;IFERROR(VLOOKUP(A45,OverviewTable[],11,FALSE),"?")</f>
        <v>2607.7/2384.4</v>
      </c>
      <c r="D45" s="16" t="str">
        <f>N50&amp;"/"&amp;IFERROR(VLOOKUP(A45,OverviewTable[],12,FALSE),"?")</f>
        <v>90.3/133</v>
      </c>
      <c r="E45" s="16" t="str">
        <f>O50&amp;"/"&amp;IFERROR(VLOOKUP(A45,OverviewTable[],13,FALSE),"?")</f>
        <v>125.3/66</v>
      </c>
      <c r="F45" s="16" t="str">
        <f>P50&amp;"/"&amp;IFERROR(VLOOKUP(A45,OverviewTable[],14,FALSE),"?")</f>
        <v>279.7/315</v>
      </c>
      <c r="G45" s="60"/>
      <c r="H45" s="60"/>
      <c r="I45" s="57"/>
      <c r="J45" s="57"/>
      <c r="K45" s="57"/>
      <c r="L45" s="57"/>
      <c r="M45" s="61" t="s">
        <v>6</v>
      </c>
      <c r="N45" s="61">
        <f>(A48 * IFERROR(VLOOKUP(B48,BreakfastTable[],2,FALSE),0)) + (A49 * IFERROR(VLOOKUP(B49,BreakfastTable[],2,FALSE),0)) + (A50 * IFERROR(VLOOKUP(B50,BreakfastTable[],2,FALSE),0)) + (A51 * IFERROR(VLOOKUP(B51,BreakfastTable[],2,FALSE),0))</f>
        <v>20</v>
      </c>
      <c r="O45" s="61">
        <f>(A48 * IFERROR(VLOOKUP(B48,BreakfastTable[],3,FALSE),0)) + (A49 * IFERROR(VLOOKUP(B49,BreakfastTable[],3,FALSE),0)) + (A50 * IFERROR(VLOOKUP(B50,BreakfastTable[],3,FALSE),0)) + (A51 * IFERROR(VLOOKUP(B51,BreakfastTable[],3,FALSE),0))</f>
        <v>9</v>
      </c>
      <c r="P45" s="61">
        <f>(A48 * IFERROR(VLOOKUP(B48,BreakfastTable[],4,FALSE),0)) + (A49 * IFERROR(VLOOKUP(B49,BreakfastTable[],4,FALSE),0)) + (A50 * IFERROR(VLOOKUP(B50,BreakfastTable[],4,FALSE),0)) + (A51 * IFERROR(VLOOKUP(B51,BreakfastTable[],4,FALSE),0))</f>
        <v>30</v>
      </c>
    </row>
    <row r="46" spans="1:16" x14ac:dyDescent="0.25">
      <c r="A46" s="17"/>
      <c r="B46" s="17"/>
      <c r="C46" s="17"/>
      <c r="D46" s="17"/>
      <c r="E46" s="17"/>
      <c r="F46" s="17"/>
      <c r="G46" s="60"/>
      <c r="H46" s="60"/>
      <c r="I46" s="57"/>
      <c r="J46" s="57"/>
      <c r="K46" s="57"/>
      <c r="L46" s="57"/>
      <c r="M46" s="61" t="s">
        <v>11</v>
      </c>
      <c r="N46" s="61">
        <f>(C48 * IFERROR(VLOOKUP(D48,LunchTable[],2,FALSE),0)) + (C49 * IFERROR(VLOOKUP(D49,LunchTable[],2,FALSE),0)) + (C50 * IFERROR(VLOOKUP(D50,LunchTable[],2,FALSE),0)) + (C51 * IFERROR(VLOOKUP(D51,LunchTable[],2,FALSE),0))</f>
        <v>0</v>
      </c>
      <c r="O46" s="61">
        <f>(C48 * IFERROR(VLOOKUP(D48,LunchTable[],3,FALSE),0)) + (C49 * IFERROR(VLOOKUP(D49,LunchTable[],3,FALSE),0)) + (C50 * IFERROR(VLOOKUP(D50,LunchTable[],3,FALSE),0)) + (C51 * IFERROR(VLOOKUP(D51,LunchTable[],3,FALSE),0))</f>
        <v>0</v>
      </c>
      <c r="P46" s="61">
        <f>(C48 * IFERROR(VLOOKUP(D48,LunchTable[],4,FALSE),0)) + (C49 * IFERROR(VLOOKUP(D49,LunchTable[],4,FALSE),0)) + (C50 * IFERROR(VLOOKUP(D50,LunchTable[],4,FALSE),0)) + (C51 * IFERROR(VLOOKUP(D51,LunchTable[],4,FALSE),0))</f>
        <v>0</v>
      </c>
    </row>
    <row r="47" spans="1:16" ht="18" thickBot="1" x14ac:dyDescent="0.35">
      <c r="A47" s="10" t="s">
        <v>34</v>
      </c>
      <c r="B47" s="11" t="s">
        <v>6</v>
      </c>
      <c r="C47" s="10" t="s">
        <v>34</v>
      </c>
      <c r="D47" s="11" t="s">
        <v>11</v>
      </c>
      <c r="E47" s="10" t="s">
        <v>34</v>
      </c>
      <c r="F47" s="11" t="s">
        <v>12</v>
      </c>
      <c r="G47" s="10" t="s">
        <v>34</v>
      </c>
      <c r="H47" s="12" t="s">
        <v>35</v>
      </c>
      <c r="I47" s="5" t="s">
        <v>41</v>
      </c>
      <c r="J47" s="5" t="s">
        <v>42</v>
      </c>
      <c r="K47" s="5" t="s">
        <v>43</v>
      </c>
      <c r="L47" s="57"/>
      <c r="M47" s="61" t="s">
        <v>12</v>
      </c>
      <c r="N47" s="61">
        <f>(E48 * IFERROR(VLOOKUP(F48,DinnerTable[],2,FALSE),0)) + (E49 * IFERROR(VLOOKUP(F49,DinnerTable[],2,FALSE),0)) + (E50 * IFERROR(VLOOKUP(F50,DinnerTable[],2,FALSE),0)) + (E51 * IFERROR(VLOOKUP(F51,DinnerTable[],2,FALSE),0))</f>
        <v>0</v>
      </c>
      <c r="O47" s="61">
        <f>(E48 * IFERROR(VLOOKUP(F48,DinnerTable[],3,FALSE),0)) + (E49 * IFERROR(VLOOKUP(F49,DinnerTable[],3,FALSE),0)) + (E50 * IFERROR(VLOOKUP(F50,DinnerTable[],3,FALSE),0)) + (E51 * IFERROR(VLOOKUP(F51,DinnerTable[],3,FALSE),0))</f>
        <v>0</v>
      </c>
      <c r="P47" s="61">
        <f>(E48 * IFERROR(VLOOKUP(F48,DinnerTable[],4,FALSE),0)) + (E49 * IFERROR(VLOOKUP(F49,DinnerTable[],4,FALSE),0)) + (E50 * IFERROR(VLOOKUP(F50,DinnerTable[],4,FALSE),0)) + (E51 * IFERROR(VLOOKUP(F51,DinnerTable[],4,FALSE),0))</f>
        <v>0</v>
      </c>
    </row>
    <row r="48" spans="1:16" ht="15.75" thickTop="1" x14ac:dyDescent="0.25">
      <c r="A48" s="17">
        <v>1</v>
      </c>
      <c r="B48" s="17" t="s">
        <v>26</v>
      </c>
      <c r="C48" s="17"/>
      <c r="D48" s="17"/>
      <c r="E48" s="17"/>
      <c r="F48" s="17"/>
      <c r="G48" s="17"/>
      <c r="H48" s="17"/>
      <c r="I48" s="2">
        <v>23.3</v>
      </c>
      <c r="J48" s="2">
        <v>56.3</v>
      </c>
      <c r="K48" s="2">
        <v>113.7</v>
      </c>
      <c r="L48" s="57"/>
      <c r="M48" s="61" t="s">
        <v>35</v>
      </c>
      <c r="N48" s="61">
        <f>(G48 * IFERROR(VLOOKUP(H48,PostWorkoutTable[],2,FALSE),0)) + (G49 * IFERROR(VLOOKUP(H49,PostWorkoutTable[],2,FALSE),0)) + (G50 * IFERROR(VLOOKUP(H50,PostWorkoutTable[],2,FALSE),0)) + (G51 * IFERROR(VLOOKUP(H51,PostWorkoutTable[],2,FALSE),0))</f>
        <v>0</v>
      </c>
      <c r="O48" s="61">
        <f>(G48 * IFERROR(VLOOKUP(H48,PostWorkoutTable[],3,FALSE),0)) + (G49 * IFERROR(VLOOKUP(H49,PostWorkoutTable[],3,FALSE),0)) + (G50 * IFERROR(VLOOKUP(H50,PostWorkoutTable[],3,FALSE),0)) + (G51 * IFERROR(VLOOKUP(H51,PostWorkoutTable[],3,FALSE),0))</f>
        <v>0</v>
      </c>
      <c r="P48" s="61">
        <f>(G48 * IFERROR(VLOOKUP(H48,PostWorkoutTable[],4,FALSE),0)) + (G49 * IFERROR(VLOOKUP(H49,PostWorkoutTable[],4,FALSE),0)) + (G50 * IFERROR(VLOOKUP(H50,PostWorkoutTable[],4,FALSE),0)) + (G51 * IFERROR(VLOOKUP(H51,PostWorkoutTable[],4,FALSE),0))</f>
        <v>0</v>
      </c>
    </row>
    <row r="49" spans="1:16" x14ac:dyDescent="0.25">
      <c r="A49" s="17"/>
      <c r="B49" s="17"/>
      <c r="C49" s="17"/>
      <c r="D49" s="17"/>
      <c r="E49" s="17"/>
      <c r="F49" s="17"/>
      <c r="G49" s="17"/>
      <c r="H49" s="17"/>
      <c r="I49" s="2">
        <v>47</v>
      </c>
      <c r="J49" s="2">
        <v>60</v>
      </c>
      <c r="K49" s="2">
        <v>84</v>
      </c>
      <c r="L49" s="57"/>
      <c r="M49" s="61" t="s">
        <v>21</v>
      </c>
      <c r="N49" s="61">
        <f xml:space="preserve"> SUM(I48:I51)</f>
        <v>70.3</v>
      </c>
      <c r="O49" s="61">
        <f>SUM(J48:J51)</f>
        <v>116.3</v>
      </c>
      <c r="P49" s="61">
        <f>SUM(K48:K51)</f>
        <v>249.7</v>
      </c>
    </row>
    <row r="50" spans="1:16" x14ac:dyDescent="0.25">
      <c r="A50" s="17"/>
      <c r="B50" s="17"/>
      <c r="C50" s="17"/>
      <c r="D50" s="17"/>
      <c r="E50" s="17"/>
      <c r="F50" s="17"/>
      <c r="G50" s="17"/>
      <c r="H50" s="17"/>
      <c r="I50" s="2">
        <v>0</v>
      </c>
      <c r="J50" s="2">
        <v>0</v>
      </c>
      <c r="K50" s="2">
        <v>52</v>
      </c>
      <c r="L50" s="57"/>
      <c r="M50" s="61" t="s">
        <v>38</v>
      </c>
      <c r="N50" s="61">
        <f>SUM(N45:N49)</f>
        <v>90.3</v>
      </c>
      <c r="O50" s="61">
        <f>SUM(O45:O49)</f>
        <v>125.3</v>
      </c>
      <c r="P50" s="61">
        <f>SUM(P45:P49)</f>
        <v>279.7</v>
      </c>
    </row>
    <row r="51" spans="1:16" x14ac:dyDescent="0.25">
      <c r="A51" s="17"/>
      <c r="B51" s="17"/>
      <c r="C51" s="17"/>
      <c r="D51" s="17"/>
      <c r="E51" s="17"/>
      <c r="F51" s="17"/>
      <c r="G51" s="17"/>
      <c r="H51" s="17"/>
      <c r="I51" s="2"/>
      <c r="J51" s="2"/>
      <c r="K51" s="2"/>
      <c r="L51" s="57"/>
      <c r="M51" s="57"/>
      <c r="N51" s="57"/>
      <c r="O51" s="57"/>
      <c r="P51" s="57"/>
    </row>
    <row r="52" spans="1:16" x14ac:dyDescent="0.25">
      <c r="A52" s="57"/>
      <c r="B52" s="57"/>
      <c r="C52" s="57"/>
      <c r="D52" s="57"/>
      <c r="E52" s="57"/>
      <c r="F52" s="57"/>
      <c r="G52" s="57"/>
      <c r="H52" s="57"/>
      <c r="I52" s="57">
        <f>SUM(I48:I51)</f>
        <v>70.3</v>
      </c>
      <c r="J52" s="57">
        <f>SUM(J48:J51)</f>
        <v>116.3</v>
      </c>
      <c r="K52" s="57">
        <f>SUM(K48:K51)</f>
        <v>249.7</v>
      </c>
      <c r="L52" s="57"/>
      <c r="M52" s="57"/>
      <c r="N52" s="57"/>
      <c r="O52" s="57"/>
      <c r="P52" s="57"/>
    </row>
    <row r="53" spans="1:16" ht="23.25" x14ac:dyDescent="0.35">
      <c r="A53" s="63">
        <v>43596</v>
      </c>
      <c r="B53" s="57"/>
      <c r="C53" s="57"/>
      <c r="D53" s="57"/>
      <c r="E53" s="57"/>
      <c r="F53" s="57"/>
      <c r="G53" s="57"/>
      <c r="H53" s="57"/>
      <c r="I53" s="57"/>
      <c r="J53" s="57"/>
      <c r="K53" s="57"/>
      <c r="L53" s="57"/>
      <c r="M53" s="57"/>
      <c r="N53" s="57"/>
      <c r="O53" s="57"/>
      <c r="P53" s="57"/>
    </row>
    <row r="54" spans="1:16" ht="18" thickBot="1" x14ac:dyDescent="0.35">
      <c r="A54" s="3" t="s">
        <v>48</v>
      </c>
      <c r="B54" s="3" t="s">
        <v>0</v>
      </c>
      <c r="C54" s="3" t="s">
        <v>36</v>
      </c>
      <c r="D54" s="3" t="s">
        <v>8</v>
      </c>
      <c r="E54" s="5" t="s">
        <v>9</v>
      </c>
      <c r="F54" s="5" t="s">
        <v>10</v>
      </c>
      <c r="G54" s="59"/>
      <c r="H54" s="60"/>
      <c r="I54" s="57"/>
      <c r="J54" s="57"/>
      <c r="K54" s="57"/>
      <c r="L54" s="57"/>
      <c r="M54" s="59"/>
      <c r="N54" s="61" t="s">
        <v>8</v>
      </c>
      <c r="O54" s="61" t="s">
        <v>9</v>
      </c>
      <c r="P54" s="61" t="s">
        <v>10</v>
      </c>
    </row>
    <row r="55" spans="1:16" ht="15.75" thickTop="1" x14ac:dyDescent="0.25">
      <c r="A55" s="18">
        <v>43591</v>
      </c>
      <c r="B55" s="16">
        <f>IFERROR(VLOOKUP(A55,OverviewTable[],2,FALSE),"?")</f>
        <v>133.4</v>
      </c>
      <c r="C55" s="16" t="str">
        <f>((N60 * 4) + (O60 * 9) + (P60 * 4))&amp;"/"&amp;IFERROR(VLOOKUP(A55,OverviewTable[],11,FALSE),"?")</f>
        <v>1988.1/2384.4</v>
      </c>
      <c r="D55" s="16" t="str">
        <f>N60&amp;"/"&amp;IFERROR(VLOOKUP(A55,OverviewTable[],12,FALSE),"?")</f>
        <v>97.8/133</v>
      </c>
      <c r="E55" s="16" t="str">
        <f>O60&amp;"/"&amp;IFERROR(VLOOKUP(A55,OverviewTable[],13,FALSE),"?")</f>
        <v>91.3/66</v>
      </c>
      <c r="F55" s="16" t="str">
        <f>P60&amp;"/"&amp;IFERROR(VLOOKUP(A55,OverviewTable[],14,FALSE),"?")</f>
        <v>193.8/315</v>
      </c>
      <c r="G55" s="60"/>
      <c r="H55" s="60"/>
      <c r="I55" s="57"/>
      <c r="J55" s="57"/>
      <c r="K55" s="57"/>
      <c r="L55" s="57"/>
      <c r="M55" s="61" t="s">
        <v>6</v>
      </c>
      <c r="N55" s="61">
        <f>(A58 * IFERROR(VLOOKUP(B58,BreakfastTable[],2,FALSE),0)) + (A59 * IFERROR(VLOOKUP(B59,BreakfastTable[],2,FALSE),0)) + (A60 * IFERROR(VLOOKUP(B60,BreakfastTable[],2,FALSE),0)) + (A61 * IFERROR(VLOOKUP(B61,BreakfastTable[],2,FALSE),0))</f>
        <v>0</v>
      </c>
      <c r="O55" s="61">
        <f>(A58 * IFERROR(VLOOKUP(B58,BreakfastTable[],3,FALSE),0)) + (A59 * IFERROR(VLOOKUP(B59,BreakfastTable[],3,FALSE),0)) + (A60 * IFERROR(VLOOKUP(B60,BreakfastTable[],3,FALSE),0)) + (A61 * IFERROR(VLOOKUP(B61,BreakfastTable[],3,FALSE),0))</f>
        <v>0</v>
      </c>
      <c r="P55" s="61">
        <f>(A58 * IFERROR(VLOOKUP(B58,BreakfastTable[],4,FALSE),0)) + (A59 * IFERROR(VLOOKUP(B59,BreakfastTable[],4,FALSE),0)) + (A60 * IFERROR(VLOOKUP(B60,BreakfastTable[],4,FALSE),0)) + (A61 * IFERROR(VLOOKUP(B61,BreakfastTable[],4,FALSE),0))</f>
        <v>0</v>
      </c>
    </row>
    <row r="56" spans="1:16" x14ac:dyDescent="0.25">
      <c r="A56" s="17"/>
      <c r="B56" s="17"/>
      <c r="C56" s="17"/>
      <c r="D56" s="17"/>
      <c r="E56" s="17"/>
      <c r="F56" s="17"/>
      <c r="G56" s="60"/>
      <c r="H56" s="60"/>
      <c r="I56" s="57"/>
      <c r="J56" s="57"/>
      <c r="K56" s="57"/>
      <c r="L56" s="57"/>
      <c r="M56" s="61" t="s">
        <v>11</v>
      </c>
      <c r="N56" s="61">
        <f>(C58 * IFERROR(VLOOKUP(D58,LunchTable[],2,FALSE),0)) + (C59 * IFERROR(VLOOKUP(D59,LunchTable[],2,FALSE),0)) + (C60 * IFERROR(VLOOKUP(D60,LunchTable[],2,FALSE),0)) + (C61 * IFERROR(VLOOKUP(D61,LunchTable[],2,FALSE),0))</f>
        <v>0</v>
      </c>
      <c r="O56" s="61">
        <f>(C58 * IFERROR(VLOOKUP(D58,LunchTable[],3,FALSE),0)) + (C59 * IFERROR(VLOOKUP(D59,LunchTable[],3,FALSE),0)) + (C60 * IFERROR(VLOOKUP(D60,LunchTable[],3,FALSE),0)) + (C61 * IFERROR(VLOOKUP(D61,LunchTable[],3,FALSE),0))</f>
        <v>0</v>
      </c>
      <c r="P56" s="61">
        <f>(C58 * IFERROR(VLOOKUP(D58,LunchTable[],4,FALSE),0)) + (C59 * IFERROR(VLOOKUP(D59,LunchTable[],4,FALSE),0)) + (C60 * IFERROR(VLOOKUP(D60,LunchTable[],4,FALSE),0)) + (C61 * IFERROR(VLOOKUP(D61,LunchTable[],4,FALSE),0))</f>
        <v>0</v>
      </c>
    </row>
    <row r="57" spans="1:16" ht="18" thickBot="1" x14ac:dyDescent="0.35">
      <c r="A57" s="10" t="s">
        <v>34</v>
      </c>
      <c r="B57" s="11" t="s">
        <v>6</v>
      </c>
      <c r="C57" s="10" t="s">
        <v>34</v>
      </c>
      <c r="D57" s="11" t="s">
        <v>11</v>
      </c>
      <c r="E57" s="10" t="s">
        <v>34</v>
      </c>
      <c r="F57" s="11" t="s">
        <v>12</v>
      </c>
      <c r="G57" s="10" t="s">
        <v>34</v>
      </c>
      <c r="H57" s="12" t="s">
        <v>35</v>
      </c>
      <c r="I57" s="5" t="s">
        <v>41</v>
      </c>
      <c r="J57" s="5" t="s">
        <v>42</v>
      </c>
      <c r="K57" s="5" t="s">
        <v>43</v>
      </c>
      <c r="L57" s="57"/>
      <c r="M57" s="61" t="s">
        <v>12</v>
      </c>
      <c r="N57" s="61">
        <f>(E58 * IFERROR(VLOOKUP(F58,DinnerTable[],2,FALSE),0)) + (E59 * IFERROR(VLOOKUP(F59,DinnerTable[],2,FALSE),0)) + (E60 * IFERROR(VLOOKUP(F60,DinnerTable[],2,FALSE),0)) + (E61 * IFERROR(VLOOKUP(F61,DinnerTable[],2,FALSE),0))</f>
        <v>35</v>
      </c>
      <c r="O57" s="61">
        <f>(E58 * IFERROR(VLOOKUP(F58,DinnerTable[],3,FALSE),0)) + (E59 * IFERROR(VLOOKUP(F59,DinnerTable[],3,FALSE),0)) + (E60 * IFERROR(VLOOKUP(F60,DinnerTable[],3,FALSE),0)) + (E61 * IFERROR(VLOOKUP(F61,DinnerTable[],3,FALSE),0))</f>
        <v>50</v>
      </c>
      <c r="P57" s="61">
        <f>(E58 * IFERROR(VLOOKUP(F58,DinnerTable[],4,FALSE),0)) + (E59 * IFERROR(VLOOKUP(F59,DinnerTable[],4,FALSE),0)) + (E60 * IFERROR(VLOOKUP(F60,DinnerTable[],4,FALSE),0)) + (E61 * IFERROR(VLOOKUP(F61,DinnerTable[],4,FALSE),0))</f>
        <v>60</v>
      </c>
    </row>
    <row r="58" spans="1:16" ht="15.75" thickTop="1" x14ac:dyDescent="0.25">
      <c r="A58" s="17"/>
      <c r="B58" s="17"/>
      <c r="C58" s="17"/>
      <c r="D58" s="17"/>
      <c r="E58" s="17">
        <v>0.5</v>
      </c>
      <c r="F58" s="17" t="s">
        <v>28</v>
      </c>
      <c r="G58" s="17"/>
      <c r="H58" s="17"/>
      <c r="I58" s="2">
        <v>62.8</v>
      </c>
      <c r="J58" s="2">
        <v>41.3</v>
      </c>
      <c r="K58" s="2">
        <v>133.80000000000001</v>
      </c>
      <c r="L58" s="57"/>
      <c r="M58" s="61" t="s">
        <v>35</v>
      </c>
      <c r="N58" s="61">
        <f>(G58 * IFERROR(VLOOKUP(H58,PostWorkoutTable[],2,FALSE),0)) + (G59 * IFERROR(VLOOKUP(H59,PostWorkoutTable[],2,FALSE),0)) + (G60 * IFERROR(VLOOKUP(H60,PostWorkoutTable[],2,FALSE),0)) + (G61 * IFERROR(VLOOKUP(H61,PostWorkoutTable[],2,FALSE),0))</f>
        <v>0</v>
      </c>
      <c r="O58" s="61">
        <f>(G58 * IFERROR(VLOOKUP(H58,PostWorkoutTable[],3,FALSE),0)) + (G59 * IFERROR(VLOOKUP(H59,PostWorkoutTable[],3,FALSE),0)) + (G60 * IFERROR(VLOOKUP(H60,PostWorkoutTable[],3,FALSE),0)) + (G61 * IFERROR(VLOOKUP(H61,PostWorkoutTable[],3,FALSE),0))</f>
        <v>0</v>
      </c>
      <c r="P58" s="61">
        <f>(G58 * IFERROR(VLOOKUP(H58,PostWorkoutTable[],4,FALSE),0)) + (G59 * IFERROR(VLOOKUP(H59,PostWorkoutTable[],4,FALSE),0)) + (G60 * IFERROR(VLOOKUP(H60,PostWorkoutTable[],4,FALSE),0)) + (G61 * IFERROR(VLOOKUP(H61,PostWorkoutTable[],4,FALSE),0))</f>
        <v>0</v>
      </c>
    </row>
    <row r="59" spans="1:16" x14ac:dyDescent="0.25">
      <c r="A59" s="17"/>
      <c r="B59" s="17"/>
      <c r="C59" s="17"/>
      <c r="D59" s="17"/>
      <c r="E59" s="17"/>
      <c r="F59" s="17"/>
      <c r="G59" s="17"/>
      <c r="H59" s="17"/>
      <c r="I59" s="2"/>
      <c r="J59" s="2"/>
      <c r="K59" s="2"/>
      <c r="L59" s="57"/>
      <c r="M59" s="61" t="s">
        <v>21</v>
      </c>
      <c r="N59" s="61">
        <f xml:space="preserve"> SUM(I58:I61)</f>
        <v>62.8</v>
      </c>
      <c r="O59" s="61">
        <f>SUM(J58:J61)</f>
        <v>41.3</v>
      </c>
      <c r="P59" s="61">
        <f>SUM(K58:K61)</f>
        <v>133.80000000000001</v>
      </c>
    </row>
    <row r="60" spans="1:16" x14ac:dyDescent="0.25">
      <c r="A60" s="17"/>
      <c r="B60" s="17"/>
      <c r="C60" s="17"/>
      <c r="D60" s="17"/>
      <c r="E60" s="17"/>
      <c r="F60" s="17"/>
      <c r="G60" s="17"/>
      <c r="H60" s="17"/>
      <c r="I60" s="2"/>
      <c r="J60" s="2"/>
      <c r="K60" s="2"/>
      <c r="L60" s="57"/>
      <c r="M60" s="61" t="s">
        <v>38</v>
      </c>
      <c r="N60" s="61">
        <f>SUM(N55:N59)</f>
        <v>97.8</v>
      </c>
      <c r="O60" s="61">
        <f>SUM(O55:O59)</f>
        <v>91.3</v>
      </c>
      <c r="P60" s="61">
        <f>SUM(P55:P59)</f>
        <v>193.8</v>
      </c>
    </row>
    <row r="61" spans="1:16" x14ac:dyDescent="0.25">
      <c r="A61" s="17"/>
      <c r="B61" s="17"/>
      <c r="C61" s="17"/>
      <c r="D61" s="17"/>
      <c r="E61" s="17"/>
      <c r="F61" s="17"/>
      <c r="G61" s="17"/>
      <c r="H61" s="17"/>
      <c r="I61" s="2"/>
      <c r="J61" s="2"/>
      <c r="K61" s="2"/>
      <c r="L61" s="57"/>
      <c r="M61" s="57"/>
      <c r="N61" s="57"/>
      <c r="O61" s="57"/>
      <c r="P61" s="57"/>
    </row>
    <row r="62" spans="1:16" x14ac:dyDescent="0.25">
      <c r="A62" s="57"/>
      <c r="B62" s="57"/>
      <c r="C62" s="57"/>
      <c r="D62" s="57"/>
      <c r="E62" s="57"/>
      <c r="F62" s="57"/>
      <c r="G62" s="57"/>
      <c r="H62" s="57"/>
      <c r="I62" s="57">
        <f>SUM(I58:I61)</f>
        <v>62.8</v>
      </c>
      <c r="J62" s="57">
        <f>SUM(J58:J61)</f>
        <v>41.3</v>
      </c>
      <c r="K62" s="57">
        <f>SUM(K58:K61)</f>
        <v>133.80000000000001</v>
      </c>
      <c r="L62" s="57"/>
      <c r="M62" s="57"/>
      <c r="N62" s="57"/>
      <c r="O62" s="57"/>
      <c r="P62" s="57"/>
    </row>
    <row r="63" spans="1:16" ht="23.25" x14ac:dyDescent="0.35">
      <c r="A63" s="63">
        <v>43597</v>
      </c>
      <c r="B63" s="57"/>
      <c r="C63" s="57"/>
      <c r="D63" s="57"/>
      <c r="E63" s="57"/>
      <c r="F63" s="57"/>
      <c r="G63" s="57"/>
      <c r="H63" s="57"/>
      <c r="I63" s="57"/>
      <c r="J63" s="57"/>
      <c r="K63" s="57"/>
      <c r="L63" s="57"/>
      <c r="M63" s="57"/>
      <c r="N63" s="57"/>
      <c r="O63" s="57"/>
      <c r="P63" s="57"/>
    </row>
    <row r="64" spans="1:16" ht="18" thickBot="1" x14ac:dyDescent="0.35">
      <c r="A64" s="3" t="s">
        <v>48</v>
      </c>
      <c r="B64" s="3" t="s">
        <v>0</v>
      </c>
      <c r="C64" s="3" t="s">
        <v>36</v>
      </c>
      <c r="D64" s="3" t="s">
        <v>8</v>
      </c>
      <c r="E64" s="5" t="s">
        <v>9</v>
      </c>
      <c r="F64" s="5" t="s">
        <v>10</v>
      </c>
      <c r="G64" s="59"/>
      <c r="H64" s="60"/>
      <c r="I64" s="57"/>
      <c r="J64" s="57"/>
      <c r="K64" s="57"/>
      <c r="L64" s="57"/>
      <c r="M64" s="59"/>
      <c r="N64" s="61" t="s">
        <v>8</v>
      </c>
      <c r="O64" s="61" t="s">
        <v>9</v>
      </c>
      <c r="P64" s="61" t="s">
        <v>10</v>
      </c>
    </row>
    <row r="65" spans="1:16" ht="15.75" thickTop="1" x14ac:dyDescent="0.25">
      <c r="A65" s="18">
        <v>43591</v>
      </c>
      <c r="B65" s="16">
        <f>IFERROR(VLOOKUP(A65,OverviewTable[],2,FALSE),"?")</f>
        <v>133.4</v>
      </c>
      <c r="C65" s="16" t="str">
        <f>((N70 * 4) + (O70 * 9) + (P70 * 4))&amp;"/"&amp;IFERROR(VLOOKUP(A65,OverviewTable[],11,FALSE),"?")</f>
        <v>2226.5/2384.4</v>
      </c>
      <c r="D65" s="16" t="str">
        <f>N70&amp;"/"&amp;IFERROR(VLOOKUP(A65,OverviewTable[],12,FALSE),"?")</f>
        <v>127.3/133</v>
      </c>
      <c r="E65" s="16" t="str">
        <f>O70&amp;"/"&amp;IFERROR(VLOOKUP(A65,OverviewTable[],13,FALSE),"?")</f>
        <v>112.9/66</v>
      </c>
      <c r="F65" s="16" t="str">
        <f>P70&amp;"/"&amp;IFERROR(VLOOKUP(A65,OverviewTable[],14,FALSE),"?")</f>
        <v>175.3/315</v>
      </c>
      <c r="G65" s="60"/>
      <c r="H65" s="60"/>
      <c r="I65" s="57"/>
      <c r="J65" s="57"/>
      <c r="K65" s="57"/>
      <c r="L65" s="57"/>
      <c r="M65" s="61" t="s">
        <v>6</v>
      </c>
      <c r="N65" s="61">
        <f>(A68 * IFERROR(VLOOKUP(B68,BreakfastTable[],2,FALSE),0)) + (A69 * IFERROR(VLOOKUP(B69,BreakfastTable[],2,FALSE),0)) + (A70 * IFERROR(VLOOKUP(B70,BreakfastTable[],2,FALSE),0)) + (A71 * IFERROR(VLOOKUP(B71,BreakfastTable[],2,FALSE),0))</f>
        <v>32.299999999999997</v>
      </c>
      <c r="O65" s="61">
        <f>(A68 * IFERROR(VLOOKUP(B68,BreakfastTable[],3,FALSE),0)) + (A69 * IFERROR(VLOOKUP(B69,BreakfastTable[],3,FALSE),0)) + (A70 * IFERROR(VLOOKUP(B70,BreakfastTable[],3,FALSE),0)) + (A71 * IFERROR(VLOOKUP(B71,BreakfastTable[],3,FALSE),0))</f>
        <v>14.9</v>
      </c>
      <c r="P65" s="61">
        <f>(A68 * IFERROR(VLOOKUP(B68,BreakfastTable[],4,FALSE),0)) + (A69 * IFERROR(VLOOKUP(B69,BreakfastTable[],4,FALSE),0)) + (A70 * IFERROR(VLOOKUP(B70,BreakfastTable[],4,FALSE),0)) + (A71 * IFERROR(VLOOKUP(B71,BreakfastTable[],4,FALSE),0))</f>
        <v>55.3</v>
      </c>
    </row>
    <row r="66" spans="1:16" x14ac:dyDescent="0.25">
      <c r="A66" s="17"/>
      <c r="B66" s="17"/>
      <c r="C66" s="17"/>
      <c r="D66" s="17"/>
      <c r="E66" s="17"/>
      <c r="F66" s="17"/>
      <c r="G66" s="60"/>
      <c r="H66" s="60"/>
      <c r="I66" s="57"/>
      <c r="J66" s="57"/>
      <c r="K66" s="57"/>
      <c r="L66" s="57"/>
      <c r="M66" s="61" t="s">
        <v>11</v>
      </c>
      <c r="N66" s="61">
        <f>(C68 * IFERROR(VLOOKUP(D68,LunchTable[],2,FALSE),0)) + (C69 * IFERROR(VLOOKUP(D69,LunchTable[],2,FALSE),0)) + (C70 * IFERROR(VLOOKUP(D70,LunchTable[],2,FALSE),0)) + (C71 * IFERROR(VLOOKUP(D71,LunchTable[],2,FALSE),0))</f>
        <v>35</v>
      </c>
      <c r="O66" s="61">
        <f>(C68 * IFERROR(VLOOKUP(D68,LunchTable[],3,FALSE),0)) + (C69 * IFERROR(VLOOKUP(D69,LunchTable[],3,FALSE),0)) + (C70 * IFERROR(VLOOKUP(D70,LunchTable[],3,FALSE),0)) + (C71 * IFERROR(VLOOKUP(D71,LunchTable[],3,FALSE),0))</f>
        <v>50</v>
      </c>
      <c r="P66" s="61">
        <f>(C68 * IFERROR(VLOOKUP(D68,LunchTable[],4,FALSE),0)) + (C69 * IFERROR(VLOOKUP(D69,LunchTable[],4,FALSE),0)) + (C70 * IFERROR(VLOOKUP(D70,LunchTable[],4,FALSE),0)) + (C71 * IFERROR(VLOOKUP(D71,LunchTable[],4,FALSE),0))</f>
        <v>60</v>
      </c>
    </row>
    <row r="67" spans="1:16" ht="18" thickBot="1" x14ac:dyDescent="0.35">
      <c r="A67" s="10" t="s">
        <v>34</v>
      </c>
      <c r="B67" s="11" t="s">
        <v>6</v>
      </c>
      <c r="C67" s="10" t="s">
        <v>34</v>
      </c>
      <c r="D67" s="11" t="s">
        <v>11</v>
      </c>
      <c r="E67" s="10" t="s">
        <v>34</v>
      </c>
      <c r="F67" s="11" t="s">
        <v>12</v>
      </c>
      <c r="G67" s="10" t="s">
        <v>34</v>
      </c>
      <c r="H67" s="12" t="s">
        <v>35</v>
      </c>
      <c r="I67" s="5" t="s">
        <v>41</v>
      </c>
      <c r="J67" s="5" t="s">
        <v>42</v>
      </c>
      <c r="K67" s="5" t="s">
        <v>43</v>
      </c>
      <c r="L67" s="57"/>
      <c r="M67" s="61" t="s">
        <v>12</v>
      </c>
      <c r="N67" s="61">
        <f>(E68 * IFERROR(VLOOKUP(F68,DinnerTable[],2,FALSE),0)) + (E69 * IFERROR(VLOOKUP(F69,DinnerTable[],2,FALSE),0)) + (E70 * IFERROR(VLOOKUP(F70,DinnerTable[],2,FALSE),0)) + (E71 * IFERROR(VLOOKUP(F71,DinnerTable[],2,FALSE),0))</f>
        <v>40</v>
      </c>
      <c r="O67" s="61">
        <f>(E68 * IFERROR(VLOOKUP(F68,DinnerTable[],3,FALSE),0)) + (E69 * IFERROR(VLOOKUP(F69,DinnerTable[],3,FALSE),0)) + (E70 * IFERROR(VLOOKUP(F70,DinnerTable[],3,FALSE),0)) + (E71 * IFERROR(VLOOKUP(F71,DinnerTable[],3,FALSE),0))</f>
        <v>40</v>
      </c>
      <c r="P67" s="61">
        <f>(E68 * IFERROR(VLOOKUP(F68,DinnerTable[],4,FALSE),0)) + (E69 * IFERROR(VLOOKUP(F69,DinnerTable[],4,FALSE),0)) + (E70 * IFERROR(VLOOKUP(F70,DinnerTable[],4,FALSE),0)) + (E71 * IFERROR(VLOOKUP(F71,DinnerTable[],4,FALSE),0))</f>
        <v>30</v>
      </c>
    </row>
    <row r="68" spans="1:16" ht="15.75" thickTop="1" x14ac:dyDescent="0.25">
      <c r="A68" s="17">
        <v>1</v>
      </c>
      <c r="B68" s="17" t="s">
        <v>98</v>
      </c>
      <c r="C68" s="17">
        <v>0.5</v>
      </c>
      <c r="D68" s="17" t="s">
        <v>28</v>
      </c>
      <c r="E68" s="17">
        <v>1</v>
      </c>
      <c r="F68" s="17" t="s">
        <v>67</v>
      </c>
      <c r="G68" s="17">
        <v>1</v>
      </c>
      <c r="H68" s="17" t="s">
        <v>87</v>
      </c>
      <c r="I68" s="2"/>
      <c r="J68" s="2"/>
      <c r="K68" s="2"/>
      <c r="L68" s="57"/>
      <c r="M68" s="61" t="s">
        <v>35</v>
      </c>
      <c r="N68" s="61">
        <f>(G68 * IFERROR(VLOOKUP(H68,PostWorkoutTable[],2,FALSE),0)) + (G69 * IFERROR(VLOOKUP(H69,PostWorkoutTable[],2,FALSE),0)) + (G70 * IFERROR(VLOOKUP(H70,PostWorkoutTable[],2,FALSE),0)) + (G71 * IFERROR(VLOOKUP(H71,PostWorkoutTable[],2,FALSE),0))</f>
        <v>20</v>
      </c>
      <c r="O68" s="61">
        <f>(G68 * IFERROR(VLOOKUP(H68,PostWorkoutTable[],3,FALSE),0)) + (G69 * IFERROR(VLOOKUP(H69,PostWorkoutTable[],3,FALSE),0)) + (G70 * IFERROR(VLOOKUP(H70,PostWorkoutTable[],3,FALSE),0)) + (G71 * IFERROR(VLOOKUP(H71,PostWorkoutTable[],3,FALSE),0))</f>
        <v>8</v>
      </c>
      <c r="P68" s="61">
        <f>(G68 * IFERROR(VLOOKUP(H68,PostWorkoutTable[],4,FALSE),0)) + (G69 * IFERROR(VLOOKUP(H69,PostWorkoutTable[],4,FALSE),0)) + (G70 * IFERROR(VLOOKUP(H70,PostWorkoutTable[],4,FALSE),0)) + (G71 * IFERROR(VLOOKUP(H71,PostWorkoutTable[],4,FALSE),0))</f>
        <v>30</v>
      </c>
    </row>
    <row r="69" spans="1:16" x14ac:dyDescent="0.25">
      <c r="A69" s="17"/>
      <c r="B69" s="17"/>
      <c r="C69" s="17"/>
      <c r="D69" s="17"/>
      <c r="E69" s="17">
        <v>1</v>
      </c>
      <c r="F69" s="17" t="s">
        <v>50</v>
      </c>
      <c r="G69" s="17"/>
      <c r="H69" s="17"/>
      <c r="I69" s="2"/>
      <c r="J69" s="2"/>
      <c r="K69" s="2"/>
      <c r="L69" s="57"/>
      <c r="M69" s="61" t="s">
        <v>21</v>
      </c>
      <c r="N69" s="61">
        <f xml:space="preserve"> SUM(I68:I71)</f>
        <v>0</v>
      </c>
      <c r="O69" s="61">
        <f>SUM(J68:J71)</f>
        <v>0</v>
      </c>
      <c r="P69" s="61">
        <f>SUM(K68:K71)</f>
        <v>0</v>
      </c>
    </row>
    <row r="70" spans="1:16" x14ac:dyDescent="0.25">
      <c r="A70" s="17"/>
      <c r="B70" s="17"/>
      <c r="C70" s="17"/>
      <c r="D70" s="17"/>
      <c r="E70" s="17"/>
      <c r="F70" s="17"/>
      <c r="G70" s="17"/>
      <c r="H70" s="17"/>
      <c r="I70" s="2"/>
      <c r="J70" s="2"/>
      <c r="K70" s="2"/>
      <c r="L70" s="57"/>
      <c r="M70" s="61" t="s">
        <v>38</v>
      </c>
      <c r="N70" s="61">
        <f>SUM(N65:N69)</f>
        <v>127.3</v>
      </c>
      <c r="O70" s="61">
        <f>SUM(O65:O69)</f>
        <v>112.9</v>
      </c>
      <c r="P70" s="61">
        <f>SUM(P65:P69)</f>
        <v>175.3</v>
      </c>
    </row>
    <row r="71" spans="1:16" x14ac:dyDescent="0.25">
      <c r="A71" s="17"/>
      <c r="B71" s="17"/>
      <c r="C71" s="17"/>
      <c r="D71" s="17"/>
      <c r="E71" s="17"/>
      <c r="F71" s="17"/>
      <c r="G71" s="17"/>
      <c r="H71" s="17"/>
      <c r="I71" s="2"/>
      <c r="J71" s="2"/>
      <c r="K71" s="2"/>
      <c r="L71" s="57"/>
      <c r="M71" s="57"/>
      <c r="N71" s="57"/>
      <c r="O71" s="57"/>
      <c r="P71" s="57"/>
    </row>
    <row r="72" spans="1:16" x14ac:dyDescent="0.25">
      <c r="A72" s="57"/>
      <c r="B72" s="57"/>
      <c r="C72" s="57"/>
      <c r="D72" s="57"/>
      <c r="E72" s="57"/>
      <c r="F72" s="57"/>
      <c r="G72" s="57"/>
      <c r="H72" s="57"/>
      <c r="I72" s="57">
        <f>SUM(I68:I71)</f>
        <v>0</v>
      </c>
      <c r="J72" s="57">
        <f>SUM(J68:J71)</f>
        <v>0</v>
      </c>
      <c r="K72" s="57">
        <f>SUM(K68:K71)</f>
        <v>0</v>
      </c>
      <c r="L72" s="57"/>
      <c r="M72" s="57"/>
      <c r="N72" s="57"/>
      <c r="O72" s="57"/>
      <c r="P72" s="57"/>
    </row>
    <row r="73" spans="1:16" ht="23.25" x14ac:dyDescent="0.35">
      <c r="A73" s="63">
        <v>43598</v>
      </c>
      <c r="B73" s="57"/>
      <c r="C73" s="57"/>
      <c r="D73" s="57"/>
      <c r="E73" s="57"/>
      <c r="F73" s="57"/>
      <c r="G73" s="57"/>
      <c r="H73" s="57"/>
      <c r="I73" s="57"/>
      <c r="J73" s="57"/>
      <c r="K73" s="57"/>
      <c r="L73" s="57"/>
      <c r="M73" s="57"/>
      <c r="N73" s="57"/>
      <c r="O73" s="57"/>
      <c r="P73" s="57"/>
    </row>
    <row r="74" spans="1:16" ht="18" thickBot="1" x14ac:dyDescent="0.35">
      <c r="A74" s="3" t="s">
        <v>48</v>
      </c>
      <c r="B74" s="3" t="s">
        <v>0</v>
      </c>
      <c r="C74" s="3" t="s">
        <v>36</v>
      </c>
      <c r="D74" s="3" t="s">
        <v>8</v>
      </c>
      <c r="E74" s="5" t="s">
        <v>9</v>
      </c>
      <c r="F74" s="5" t="s">
        <v>10</v>
      </c>
      <c r="G74" s="59"/>
      <c r="H74" s="60"/>
      <c r="I74" s="57"/>
      <c r="J74" s="57"/>
      <c r="K74" s="57"/>
      <c r="L74" s="57"/>
      <c r="M74" s="59"/>
      <c r="N74" s="61" t="s">
        <v>8</v>
      </c>
      <c r="O74" s="61" t="s">
        <v>9</v>
      </c>
      <c r="P74" s="61" t="s">
        <v>10</v>
      </c>
    </row>
    <row r="75" spans="1:16" ht="15.75" thickTop="1" x14ac:dyDescent="0.25">
      <c r="A75" s="18">
        <v>43598</v>
      </c>
      <c r="B75" s="16">
        <f>IFERROR(VLOOKUP(A75,OverviewTable[],2,FALSE),"?")</f>
        <v>132.4</v>
      </c>
      <c r="C75" s="16" t="str">
        <f>((N80 * 4) + (O80 * 9) + (P80 * 4))&amp;"/"&amp;IFERROR(VLOOKUP(A75,OverviewTable[],11,FALSE),"?")</f>
        <v>2333.35/2368.4</v>
      </c>
      <c r="D75" s="16" t="str">
        <f>N80&amp;"/"&amp;IFERROR(VLOOKUP(A75,OverviewTable[],12,FALSE),"?")</f>
        <v>164.85/132</v>
      </c>
      <c r="E75" s="16" t="str">
        <f>O80&amp;"/"&amp;IFERROR(VLOOKUP(A75,OverviewTable[],13,FALSE),"?")</f>
        <v>102.75/66</v>
      </c>
      <c r="F75" s="16" t="str">
        <f>P80&amp;"/"&amp;IFERROR(VLOOKUP(A75,OverviewTable[],14,FALSE),"?")</f>
        <v>187.3/312</v>
      </c>
      <c r="G75" s="60"/>
      <c r="H75" s="60"/>
      <c r="I75" s="57"/>
      <c r="J75" s="57"/>
      <c r="K75" s="57"/>
      <c r="L75" s="57"/>
      <c r="M75" s="61" t="s">
        <v>6</v>
      </c>
      <c r="N75" s="61">
        <f>(A78 * IFERROR(VLOOKUP(B78,BreakfastTable[],2,FALSE),0)) + (A79 * IFERROR(VLOOKUP(B79,BreakfastTable[],2,FALSE),0)) + (A80 * IFERROR(VLOOKUP(B80,BreakfastTable[],2,FALSE),0)) + (A81 * IFERROR(VLOOKUP(B81,BreakfastTable[],2,FALSE),0))</f>
        <v>1.6</v>
      </c>
      <c r="O75" s="61">
        <f>(A78 * IFERROR(VLOOKUP(B78,BreakfastTable[],3,FALSE),0)) + (A79 * IFERROR(VLOOKUP(B79,BreakfastTable[],3,FALSE),0)) + (A80 * IFERROR(VLOOKUP(B80,BreakfastTable[],3,FALSE),0)) + (A81 * IFERROR(VLOOKUP(B81,BreakfastTable[],3,FALSE),0))</f>
        <v>0.5</v>
      </c>
      <c r="P75" s="61">
        <f>(A78 * IFERROR(VLOOKUP(B78,BreakfastTable[],4,FALSE),0)) + (A79 * IFERROR(VLOOKUP(B79,BreakfastTable[],4,FALSE),0)) + (A80 * IFERROR(VLOOKUP(B80,BreakfastTable[],4,FALSE),0)) + (A81 * IFERROR(VLOOKUP(B81,BreakfastTable[],4,FALSE),0))</f>
        <v>34.299999999999997</v>
      </c>
    </row>
    <row r="76" spans="1:16" x14ac:dyDescent="0.25">
      <c r="A76" s="17"/>
      <c r="B76" s="17"/>
      <c r="C76" s="17"/>
      <c r="D76" s="17"/>
      <c r="E76" s="17"/>
      <c r="F76" s="17"/>
      <c r="G76" s="60"/>
      <c r="H76" s="60"/>
      <c r="I76" s="57"/>
      <c r="J76" s="57"/>
      <c r="K76" s="57"/>
      <c r="L76" s="57"/>
      <c r="M76" s="61" t="s">
        <v>11</v>
      </c>
      <c r="N76" s="61">
        <f>(C78 * IFERROR(VLOOKUP(D78,LunchTable[],2,FALSE),0)) + (C79 * IFERROR(VLOOKUP(D79,LunchTable[],2,FALSE),0)) + (C80 * IFERROR(VLOOKUP(D80,LunchTable[],2,FALSE),0)) + (C81 * IFERROR(VLOOKUP(D81,LunchTable[],2,FALSE),0))</f>
        <v>0</v>
      </c>
      <c r="O76" s="61">
        <f>(C78 * IFERROR(VLOOKUP(D78,LunchTable[],3,FALSE),0)) + (C79 * IFERROR(VLOOKUP(D79,LunchTable[],3,FALSE),0)) + (C80 * IFERROR(VLOOKUP(D80,LunchTable[],3,FALSE),0)) + (C81 * IFERROR(VLOOKUP(D81,LunchTable[],3,FALSE),0))</f>
        <v>0</v>
      </c>
      <c r="P76" s="61">
        <f>(C78 * IFERROR(VLOOKUP(D78,LunchTable[],4,FALSE),0)) + (C79 * IFERROR(VLOOKUP(D79,LunchTable[],4,FALSE),0)) + (C80 * IFERROR(VLOOKUP(D80,LunchTable[],4,FALSE),0)) + (C81 * IFERROR(VLOOKUP(D81,LunchTable[],4,FALSE),0))</f>
        <v>0</v>
      </c>
    </row>
    <row r="77" spans="1:16" ht="18" thickBot="1" x14ac:dyDescent="0.35">
      <c r="A77" s="10" t="s">
        <v>34</v>
      </c>
      <c r="B77" s="11" t="s">
        <v>6</v>
      </c>
      <c r="C77" s="10" t="s">
        <v>34</v>
      </c>
      <c r="D77" s="11" t="s">
        <v>11</v>
      </c>
      <c r="E77" s="10" t="s">
        <v>34</v>
      </c>
      <c r="F77" s="11" t="s">
        <v>12</v>
      </c>
      <c r="G77" s="10" t="s">
        <v>34</v>
      </c>
      <c r="H77" s="12" t="s">
        <v>35</v>
      </c>
      <c r="I77" s="5" t="s">
        <v>41</v>
      </c>
      <c r="J77" s="5" t="s">
        <v>42</v>
      </c>
      <c r="K77" s="5" t="s">
        <v>43</v>
      </c>
      <c r="L77" s="57"/>
      <c r="M77" s="61" t="s">
        <v>12</v>
      </c>
      <c r="N77" s="61">
        <f>(E78 * IFERROR(VLOOKUP(F78,DinnerTable[],2,FALSE),0)) + (E79 * IFERROR(VLOOKUP(F79,DinnerTable[],2,FALSE),0)) + (E80 * IFERROR(VLOOKUP(F80,DinnerTable[],2,FALSE),0)) + (E81 * IFERROR(VLOOKUP(F81,DinnerTable[],2,FALSE),0))</f>
        <v>124.25</v>
      </c>
      <c r="O77" s="61">
        <f>(E78 * IFERROR(VLOOKUP(F78,DinnerTable[],3,FALSE),0)) + (E79 * IFERROR(VLOOKUP(F79,DinnerTable[],3,FALSE),0)) + (E80 * IFERROR(VLOOKUP(F80,DinnerTable[],3,FALSE),0)) + (E81 * IFERROR(VLOOKUP(F81,DinnerTable[],3,FALSE),0))</f>
        <v>44.25</v>
      </c>
      <c r="P77" s="61">
        <f>(E78 * IFERROR(VLOOKUP(F78,DinnerTable[],4,FALSE),0)) + (E79 * IFERROR(VLOOKUP(F79,DinnerTable[],4,FALSE),0)) + (E80 * IFERROR(VLOOKUP(F80,DinnerTable[],4,FALSE),0)) + (E81 * IFERROR(VLOOKUP(F81,DinnerTable[],4,FALSE),0))</f>
        <v>72</v>
      </c>
    </row>
    <row r="78" spans="1:16" ht="15.75" thickTop="1" x14ac:dyDescent="0.25">
      <c r="A78" s="17">
        <v>1</v>
      </c>
      <c r="B78" s="17" t="s">
        <v>27</v>
      </c>
      <c r="C78" s="17"/>
      <c r="D78" s="17"/>
      <c r="E78" s="17">
        <v>0.5</v>
      </c>
      <c r="F78" s="17" t="s">
        <v>60</v>
      </c>
      <c r="G78" s="17"/>
      <c r="H78" s="17"/>
      <c r="I78" s="2">
        <v>39</v>
      </c>
      <c r="J78" s="2">
        <v>58</v>
      </c>
      <c r="K78" s="2">
        <v>81</v>
      </c>
      <c r="L78" s="57"/>
      <c r="M78" s="61" t="s">
        <v>35</v>
      </c>
      <c r="N78" s="61">
        <f>(G78 * IFERROR(VLOOKUP(H78,PostWorkoutTable[],2,FALSE),0)) + (G79 * IFERROR(VLOOKUP(H79,PostWorkoutTable[],2,FALSE),0)) + (G80 * IFERROR(VLOOKUP(H80,PostWorkoutTable[],2,FALSE),0)) + (G81 * IFERROR(VLOOKUP(H81,PostWorkoutTable[],2,FALSE),0))</f>
        <v>0</v>
      </c>
      <c r="O78" s="61">
        <f>(G78 * IFERROR(VLOOKUP(H78,PostWorkoutTable[],3,FALSE),0)) + (G79 * IFERROR(VLOOKUP(H79,PostWorkoutTable[],3,FALSE),0)) + (G80 * IFERROR(VLOOKUP(H80,PostWorkoutTable[],3,FALSE),0)) + (G81 * IFERROR(VLOOKUP(H81,PostWorkoutTable[],3,FALSE),0))</f>
        <v>0</v>
      </c>
      <c r="P78" s="61">
        <f>(G78 * IFERROR(VLOOKUP(H78,PostWorkoutTable[],4,FALSE),0)) + (G79 * IFERROR(VLOOKUP(H79,PostWorkoutTable[],4,FALSE),0)) + (G80 * IFERROR(VLOOKUP(H80,PostWorkoutTable[],4,FALSE),0)) + (G81 * IFERROR(VLOOKUP(H81,PostWorkoutTable[],4,FALSE),0))</f>
        <v>0</v>
      </c>
    </row>
    <row r="79" spans="1:16" x14ac:dyDescent="0.25">
      <c r="A79" s="17"/>
      <c r="B79" s="17"/>
      <c r="C79" s="17"/>
      <c r="D79" s="17"/>
      <c r="E79" s="17">
        <v>4</v>
      </c>
      <c r="F79" s="17" t="s">
        <v>22</v>
      </c>
      <c r="G79" s="17"/>
      <c r="H79" s="17"/>
      <c r="I79" s="2"/>
      <c r="J79" s="2"/>
      <c r="K79" s="2"/>
      <c r="L79" s="57"/>
      <c r="M79" s="61" t="s">
        <v>21</v>
      </c>
      <c r="N79" s="61">
        <f xml:space="preserve"> SUM(I78:I81)</f>
        <v>39</v>
      </c>
      <c r="O79" s="61">
        <f>SUM(J78:J81)</f>
        <v>58</v>
      </c>
      <c r="P79" s="61">
        <f>SUM(K78:K81)</f>
        <v>81</v>
      </c>
    </row>
    <row r="80" spans="1:16" x14ac:dyDescent="0.25">
      <c r="A80" s="17"/>
      <c r="B80" s="17"/>
      <c r="C80" s="17"/>
      <c r="D80" s="17"/>
      <c r="E80" s="17"/>
      <c r="F80" s="17"/>
      <c r="G80" s="17"/>
      <c r="H80" s="17"/>
      <c r="I80" s="2"/>
      <c r="J80" s="2"/>
      <c r="K80" s="2"/>
      <c r="L80" s="57"/>
      <c r="M80" s="61" t="s">
        <v>38</v>
      </c>
      <c r="N80" s="61">
        <f>SUM(N75:N79)</f>
        <v>164.85</v>
      </c>
      <c r="O80" s="61">
        <f>SUM(O75:O79)</f>
        <v>102.75</v>
      </c>
      <c r="P80" s="61">
        <f>SUM(P75:P79)</f>
        <v>187.3</v>
      </c>
    </row>
    <row r="81" spans="1:16" x14ac:dyDescent="0.25">
      <c r="A81" s="17"/>
      <c r="B81" s="17"/>
      <c r="C81" s="17"/>
      <c r="D81" s="17"/>
      <c r="E81" s="17"/>
      <c r="F81" s="17"/>
      <c r="G81" s="17"/>
      <c r="H81" s="17"/>
      <c r="I81" s="2"/>
      <c r="J81" s="2"/>
      <c r="K81" s="2"/>
      <c r="L81" s="57"/>
      <c r="M81" s="57"/>
      <c r="N81" s="57"/>
      <c r="O81" s="57"/>
      <c r="P81" s="57"/>
    </row>
    <row r="82" spans="1:16" x14ac:dyDescent="0.25">
      <c r="A82" s="57"/>
      <c r="B82" s="57"/>
      <c r="C82" s="57"/>
      <c r="D82" s="57"/>
      <c r="E82" s="57"/>
      <c r="F82" s="57"/>
      <c r="G82" s="57"/>
      <c r="H82" s="57"/>
      <c r="I82" s="57">
        <f>SUM(I78:I81)</f>
        <v>39</v>
      </c>
      <c r="J82" s="57">
        <f>SUM(J78:J81)</f>
        <v>58</v>
      </c>
      <c r="K82" s="57">
        <f>SUM(K78:K81)</f>
        <v>81</v>
      </c>
      <c r="L82" s="57"/>
      <c r="M82" s="57"/>
      <c r="N82" s="57"/>
      <c r="O82" s="57"/>
      <c r="P82" s="57"/>
    </row>
    <row r="83" spans="1:16" ht="23.25" x14ac:dyDescent="0.35">
      <c r="A83" s="63">
        <v>43599</v>
      </c>
      <c r="B83" s="57"/>
      <c r="C83" s="57"/>
      <c r="D83" s="57"/>
      <c r="E83" s="57"/>
      <c r="F83" s="57"/>
      <c r="G83" s="57"/>
      <c r="H83" s="57"/>
      <c r="I83" s="57"/>
      <c r="J83" s="57"/>
      <c r="K83" s="57"/>
      <c r="L83" s="57"/>
      <c r="M83" s="57"/>
      <c r="N83" s="57"/>
      <c r="O83" s="57"/>
      <c r="P83" s="57"/>
    </row>
    <row r="84" spans="1:16" ht="18" thickBot="1" x14ac:dyDescent="0.35">
      <c r="A84" s="3" t="s">
        <v>48</v>
      </c>
      <c r="B84" s="3" t="s">
        <v>0</v>
      </c>
      <c r="C84" s="3" t="s">
        <v>36</v>
      </c>
      <c r="D84" s="3" t="s">
        <v>8</v>
      </c>
      <c r="E84" s="5" t="s">
        <v>9</v>
      </c>
      <c r="F84" s="5" t="s">
        <v>10</v>
      </c>
      <c r="G84" s="59"/>
      <c r="H84" s="60"/>
      <c r="I84" s="57"/>
      <c r="J84" s="57"/>
      <c r="K84" s="57"/>
      <c r="L84" s="57"/>
      <c r="M84" s="59"/>
      <c r="N84" s="61" t="s">
        <v>8</v>
      </c>
      <c r="O84" s="61" t="s">
        <v>9</v>
      </c>
      <c r="P84" s="61" t="s">
        <v>10</v>
      </c>
    </row>
    <row r="85" spans="1:16" ht="15.75" thickTop="1" x14ac:dyDescent="0.25">
      <c r="A85" s="18">
        <v>43598</v>
      </c>
      <c r="B85" s="16">
        <f>IFERROR(VLOOKUP(A85,OverviewTable[],2,FALSE),"?")</f>
        <v>132.4</v>
      </c>
      <c r="C85" s="16" t="str">
        <f>((N90 * 4) + (O90 * 9) + (P90 * 4))&amp;"/"&amp;IFERROR(VLOOKUP(A85,OverviewTable[],11,FALSE),"?")</f>
        <v>2775.225/2368.4</v>
      </c>
      <c r="D85" s="16" t="str">
        <f>N90&amp;"/"&amp;IFERROR(VLOOKUP(A85,OverviewTable[],12,FALSE),"?")</f>
        <v>216.925/132</v>
      </c>
      <c r="E85" s="16" t="str">
        <f>O90&amp;"/"&amp;IFERROR(VLOOKUP(A85,OverviewTable[],13,FALSE),"?")</f>
        <v>100.125/66</v>
      </c>
      <c r="F85" s="16" t="str">
        <f>P90&amp;"/"&amp;IFERROR(VLOOKUP(A85,OverviewTable[],14,FALSE),"?")</f>
        <v>251.6/312</v>
      </c>
      <c r="G85" s="60"/>
      <c r="H85" s="60"/>
      <c r="I85" s="57"/>
      <c r="J85" s="57"/>
      <c r="K85" s="57"/>
      <c r="L85" s="57"/>
      <c r="M85" s="61" t="s">
        <v>6</v>
      </c>
      <c r="N85" s="61">
        <f>(A88 * IFERROR(VLOOKUP(B88,BreakfastTable[],2,FALSE),0)) + (A89 * IFERROR(VLOOKUP(B89,BreakfastTable[],2,FALSE),0)) + (A90 * IFERROR(VLOOKUP(B90,BreakfastTable[],2,FALSE),0)) + (A91 * IFERROR(VLOOKUP(B91,BreakfastTable[],2,FALSE),0))</f>
        <v>32.200000000000003</v>
      </c>
      <c r="O85" s="61">
        <f>(A88 * IFERROR(VLOOKUP(B88,BreakfastTable[],3,FALSE),0)) + (A89 * IFERROR(VLOOKUP(B89,BreakfastTable[],3,FALSE),0)) + (A90 * IFERROR(VLOOKUP(B90,BreakfastTable[],3,FALSE),0)) + (A91 * IFERROR(VLOOKUP(B91,BreakfastTable[],3,FALSE),0))</f>
        <v>14.9</v>
      </c>
      <c r="P85" s="61">
        <f>(A88 * IFERROR(VLOOKUP(B88,BreakfastTable[],4,FALSE),0)) + (A89 * IFERROR(VLOOKUP(B89,BreakfastTable[],4,FALSE),0)) + (A90 * IFERROR(VLOOKUP(B90,BreakfastTable[],4,FALSE),0)) + (A91 * IFERROR(VLOOKUP(B91,BreakfastTable[],4,FALSE),0))</f>
        <v>50.4</v>
      </c>
    </row>
    <row r="86" spans="1:16" x14ac:dyDescent="0.25">
      <c r="A86" s="17"/>
      <c r="B86" s="17"/>
      <c r="C86" s="17"/>
      <c r="D86" s="17"/>
      <c r="E86" s="17"/>
      <c r="F86" s="17"/>
      <c r="G86" s="60"/>
      <c r="H86" s="60"/>
      <c r="I86" s="57"/>
      <c r="J86" s="57"/>
      <c r="K86" s="57"/>
      <c r="L86" s="57"/>
      <c r="M86" s="61" t="s">
        <v>11</v>
      </c>
      <c r="N86" s="61">
        <f>(C88 * IFERROR(VLOOKUP(D88,LunchTable[],2,FALSE),0)) + (C89 * IFERROR(VLOOKUP(D89,LunchTable[],2,FALSE),0)) + (C90 * IFERROR(VLOOKUP(D90,LunchTable[],2,FALSE),0)) + (C91 * IFERROR(VLOOKUP(D91,LunchTable[],2,FALSE),0))</f>
        <v>88.125</v>
      </c>
      <c r="O86" s="61">
        <f>(C88 * IFERROR(VLOOKUP(D88,LunchTable[],3,FALSE),0)) + (C89 * IFERROR(VLOOKUP(D89,LunchTable[],3,FALSE),0)) + (C90 * IFERROR(VLOOKUP(D90,LunchTable[],3,FALSE),0)) + (C91 * IFERROR(VLOOKUP(D91,LunchTable[],3,FALSE),0))</f>
        <v>31.925000000000001</v>
      </c>
      <c r="P86" s="61">
        <f>(C88 * IFERROR(VLOOKUP(D88,LunchTable[],4,FALSE),0)) + (C89 * IFERROR(VLOOKUP(D89,LunchTable[],4,FALSE),0)) + (C90 * IFERROR(VLOOKUP(D90,LunchTable[],4,FALSE),0)) + (C91 * IFERROR(VLOOKUP(D91,LunchTable[],4,FALSE),0))</f>
        <v>72</v>
      </c>
    </row>
    <row r="87" spans="1:16" ht="18" thickBot="1" x14ac:dyDescent="0.35">
      <c r="A87" s="10" t="s">
        <v>34</v>
      </c>
      <c r="B87" s="11" t="s">
        <v>6</v>
      </c>
      <c r="C87" s="10" t="s">
        <v>34</v>
      </c>
      <c r="D87" s="11" t="s">
        <v>11</v>
      </c>
      <c r="E87" s="10" t="s">
        <v>34</v>
      </c>
      <c r="F87" s="11" t="s">
        <v>12</v>
      </c>
      <c r="G87" s="10" t="s">
        <v>34</v>
      </c>
      <c r="H87" s="12" t="s">
        <v>35</v>
      </c>
      <c r="I87" s="5" t="s">
        <v>41</v>
      </c>
      <c r="J87" s="5" t="s">
        <v>42</v>
      </c>
      <c r="K87" s="5" t="s">
        <v>43</v>
      </c>
      <c r="L87" s="57"/>
      <c r="M87" s="61" t="s">
        <v>12</v>
      </c>
      <c r="N87" s="61">
        <f>(E88 * IFERROR(VLOOKUP(F88,DinnerTable[],2,FALSE),0)) + (E89 * IFERROR(VLOOKUP(F89,DinnerTable[],2,FALSE),0)) + (E90 * IFERROR(VLOOKUP(F90,DinnerTable[],2,FALSE),0)) + (E91 * IFERROR(VLOOKUP(F91,DinnerTable[],2,FALSE),0))</f>
        <v>3.6</v>
      </c>
      <c r="O87" s="61">
        <f>(E88 * IFERROR(VLOOKUP(F88,DinnerTable[],3,FALSE),0)) + (E89 * IFERROR(VLOOKUP(F89,DinnerTable[],3,FALSE),0)) + (E90 * IFERROR(VLOOKUP(F90,DinnerTable[],3,FALSE),0)) + (E91 * IFERROR(VLOOKUP(F91,DinnerTable[],3,FALSE),0))</f>
        <v>0.3</v>
      </c>
      <c r="P87" s="61">
        <f>(E88 * IFERROR(VLOOKUP(F88,DinnerTable[],4,FALSE),0)) + (E89 * IFERROR(VLOOKUP(F89,DinnerTable[],4,FALSE),0)) + (E90 * IFERROR(VLOOKUP(F90,DinnerTable[],4,FALSE),0)) + (E91 * IFERROR(VLOOKUP(F91,DinnerTable[],4,FALSE),0))</f>
        <v>6.2</v>
      </c>
    </row>
    <row r="88" spans="1:16" ht="15.75" thickTop="1" x14ac:dyDescent="0.25">
      <c r="A88" s="17">
        <v>1</v>
      </c>
      <c r="B88" s="17" t="s">
        <v>96</v>
      </c>
      <c r="C88" s="17">
        <v>0.33</v>
      </c>
      <c r="D88" s="17" t="s">
        <v>60</v>
      </c>
      <c r="E88" s="17">
        <v>1</v>
      </c>
      <c r="F88" s="17" t="s">
        <v>62</v>
      </c>
      <c r="G88" s="17"/>
      <c r="H88" s="17"/>
      <c r="I88" s="2">
        <v>42</v>
      </c>
      <c r="J88" s="2">
        <v>3</v>
      </c>
      <c r="K88" s="2">
        <v>0</v>
      </c>
      <c r="L88" s="57"/>
      <c r="M88" s="61" t="s">
        <v>35</v>
      </c>
      <c r="N88" s="61">
        <f>(G88 * IFERROR(VLOOKUP(H88,PostWorkoutTable[],2,FALSE),0)) + (G89 * IFERROR(VLOOKUP(H89,PostWorkoutTable[],2,FALSE),0)) + (G90 * IFERROR(VLOOKUP(H90,PostWorkoutTable[],2,FALSE),0)) + (G91 * IFERROR(VLOOKUP(H91,PostWorkoutTable[],2,FALSE),0))</f>
        <v>0</v>
      </c>
      <c r="O88" s="61">
        <f>(G88 * IFERROR(VLOOKUP(H88,PostWorkoutTable[],3,FALSE),0)) + (G89 * IFERROR(VLOOKUP(H89,PostWorkoutTable[],3,FALSE),0)) + (G90 * IFERROR(VLOOKUP(H90,PostWorkoutTable[],3,FALSE),0)) + (G91 * IFERROR(VLOOKUP(H91,PostWorkoutTable[],3,FALSE),0))</f>
        <v>0</v>
      </c>
      <c r="P88" s="61">
        <f>(G88 * IFERROR(VLOOKUP(H88,PostWorkoutTable[],4,FALSE),0)) + (G89 * IFERROR(VLOOKUP(H89,PostWorkoutTable[],4,FALSE),0)) + (G90 * IFERROR(VLOOKUP(H90,PostWorkoutTable[],4,FALSE),0)) + (G91 * IFERROR(VLOOKUP(H91,PostWorkoutTable[],4,FALSE),0))</f>
        <v>0</v>
      </c>
    </row>
    <row r="89" spans="1:16" x14ac:dyDescent="0.25">
      <c r="A89" s="17"/>
      <c r="B89" s="17"/>
      <c r="C89" s="17">
        <v>4</v>
      </c>
      <c r="D89" s="17" t="s">
        <v>22</v>
      </c>
      <c r="E89" s="17"/>
      <c r="F89" s="17"/>
      <c r="G89" s="17"/>
      <c r="H89" s="17"/>
      <c r="I89" s="2">
        <v>46</v>
      </c>
      <c r="J89" s="2">
        <v>28</v>
      </c>
      <c r="K89" s="2">
        <v>74</v>
      </c>
      <c r="L89" s="57"/>
      <c r="M89" s="61" t="s">
        <v>21</v>
      </c>
      <c r="N89" s="61">
        <f xml:space="preserve"> SUM(I88:I91)</f>
        <v>93</v>
      </c>
      <c r="O89" s="61">
        <f>SUM(J88:J91)</f>
        <v>53</v>
      </c>
      <c r="P89" s="61">
        <f>SUM(K88:K91)</f>
        <v>123</v>
      </c>
    </row>
    <row r="90" spans="1:16" x14ac:dyDescent="0.25">
      <c r="A90" s="17"/>
      <c r="B90" s="17"/>
      <c r="C90" s="17"/>
      <c r="D90" s="17"/>
      <c r="E90" s="17"/>
      <c r="F90" s="17"/>
      <c r="G90" s="17"/>
      <c r="H90" s="17"/>
      <c r="I90" s="2">
        <v>5</v>
      </c>
      <c r="J90" s="2">
        <v>22</v>
      </c>
      <c r="K90" s="2">
        <v>49</v>
      </c>
      <c r="L90" s="57"/>
      <c r="M90" s="61" t="s">
        <v>38</v>
      </c>
      <c r="N90" s="61">
        <f>SUM(N85:N89)</f>
        <v>216.92500000000001</v>
      </c>
      <c r="O90" s="61">
        <f>SUM(O85:O89)</f>
        <v>100.125</v>
      </c>
      <c r="P90" s="61">
        <f>SUM(P85:P89)</f>
        <v>251.6</v>
      </c>
    </row>
    <row r="91" spans="1:16" x14ac:dyDescent="0.25">
      <c r="A91" s="17"/>
      <c r="B91" s="17"/>
      <c r="C91" s="17"/>
      <c r="D91" s="17"/>
      <c r="E91" s="17"/>
      <c r="F91" s="17"/>
      <c r="G91" s="17"/>
      <c r="H91" s="17"/>
      <c r="I91" s="2"/>
      <c r="J91" s="2"/>
      <c r="K91" s="2"/>
      <c r="L91" s="57"/>
      <c r="M91" s="57"/>
      <c r="N91" s="57"/>
      <c r="O91" s="57"/>
      <c r="P91" s="57"/>
    </row>
    <row r="92" spans="1:16" x14ac:dyDescent="0.25">
      <c r="A92" s="57"/>
      <c r="B92" s="57"/>
      <c r="C92" s="57"/>
      <c r="D92" s="57"/>
      <c r="E92" s="57"/>
      <c r="F92" s="57"/>
      <c r="G92" s="57"/>
      <c r="H92" s="57"/>
      <c r="I92" s="57">
        <f>SUM(I88:I91)</f>
        <v>93</v>
      </c>
      <c r="J92" s="57">
        <f>SUM(J88:J91)</f>
        <v>53</v>
      </c>
      <c r="K92" s="57">
        <f>SUM(K88:K91)</f>
        <v>123</v>
      </c>
      <c r="L92" s="57"/>
      <c r="M92" s="57"/>
      <c r="N92" s="57"/>
      <c r="O92" s="57"/>
      <c r="P92" s="57"/>
    </row>
    <row r="93" spans="1:16" ht="23.25" x14ac:dyDescent="0.35">
      <c r="A93" s="63">
        <v>43600</v>
      </c>
      <c r="B93" s="57"/>
      <c r="C93" s="57"/>
      <c r="D93" s="57"/>
      <c r="E93" s="57"/>
      <c r="F93" s="57"/>
      <c r="G93" s="57"/>
      <c r="H93" s="57"/>
      <c r="I93" s="57"/>
      <c r="J93" s="57"/>
      <c r="K93" s="57"/>
      <c r="L93" s="57"/>
      <c r="M93" s="57"/>
      <c r="N93" s="57"/>
      <c r="O93" s="57"/>
      <c r="P93" s="57"/>
    </row>
    <row r="94" spans="1:16" ht="18" thickBot="1" x14ac:dyDescent="0.35">
      <c r="A94" s="3" t="s">
        <v>48</v>
      </c>
      <c r="B94" s="3" t="s">
        <v>0</v>
      </c>
      <c r="C94" s="3" t="s">
        <v>36</v>
      </c>
      <c r="D94" s="3" t="s">
        <v>8</v>
      </c>
      <c r="E94" s="5" t="s">
        <v>9</v>
      </c>
      <c r="F94" s="5" t="s">
        <v>10</v>
      </c>
      <c r="G94" s="59"/>
      <c r="H94" s="60"/>
      <c r="I94" s="57"/>
      <c r="J94" s="57"/>
      <c r="K94" s="57"/>
      <c r="L94" s="57"/>
      <c r="M94" s="59"/>
      <c r="N94" s="61" t="s">
        <v>8</v>
      </c>
      <c r="O94" s="61" t="s">
        <v>9</v>
      </c>
      <c r="P94" s="61" t="s">
        <v>10</v>
      </c>
    </row>
    <row r="95" spans="1:16" ht="15.75" thickTop="1" x14ac:dyDescent="0.25">
      <c r="A95" s="18">
        <v>43598</v>
      </c>
      <c r="B95" s="16">
        <f>IFERROR(VLOOKUP(A95,OverviewTable[],2,FALSE),"?")</f>
        <v>132.4</v>
      </c>
      <c r="C95" s="16" t="str">
        <f>((N100 * 4) + (O100 * 9) + (P100 * 4))&amp;"/"&amp;IFERROR(VLOOKUP(A95,OverviewTable[],11,FALSE),"?")</f>
        <v>1842.4/2368.4</v>
      </c>
      <c r="D95" s="16" t="str">
        <f>N100&amp;"/"&amp;IFERROR(VLOOKUP(A95,OverviewTable[],12,FALSE),"?")</f>
        <v>88.5/132</v>
      </c>
      <c r="E95" s="16" t="str">
        <f>O100&amp;"/"&amp;IFERROR(VLOOKUP(A95,OverviewTable[],13,FALSE),"?")</f>
        <v>69.2/66</v>
      </c>
      <c r="F95" s="16" t="str">
        <f>P100&amp;"/"&amp;IFERROR(VLOOKUP(A95,OverviewTable[],14,FALSE),"?")</f>
        <v>216.4/312</v>
      </c>
      <c r="G95" s="60"/>
      <c r="H95" s="60"/>
      <c r="I95" s="57"/>
      <c r="J95" s="57"/>
      <c r="K95" s="57"/>
      <c r="L95" s="57"/>
      <c r="M95" s="61" t="s">
        <v>6</v>
      </c>
      <c r="N95" s="61">
        <f>(A98 * IFERROR(VLOOKUP(B98,BreakfastTable[],2,FALSE),0)) + (A99 * IFERROR(VLOOKUP(B99,BreakfastTable[],2,FALSE),0)) + (A100 * IFERROR(VLOOKUP(B100,BreakfastTable[],2,FALSE),0)) + (A101 * IFERROR(VLOOKUP(B101,BreakfastTable[],2,FALSE),0))</f>
        <v>3.5</v>
      </c>
      <c r="O95" s="61">
        <f>(A98 * IFERROR(VLOOKUP(B98,BreakfastTable[],3,FALSE),0)) + (A99 * IFERROR(VLOOKUP(B99,BreakfastTable[],3,FALSE),0)) + (A100 * IFERROR(VLOOKUP(B100,BreakfastTable[],3,FALSE),0)) + (A101 * IFERROR(VLOOKUP(B101,BreakfastTable[],3,FALSE),0))</f>
        <v>1.2</v>
      </c>
      <c r="P95" s="61">
        <f>(A98 * IFERROR(VLOOKUP(B98,BreakfastTable[],4,FALSE),0)) + (A99 * IFERROR(VLOOKUP(B99,BreakfastTable[],4,FALSE),0)) + (A100 * IFERROR(VLOOKUP(B100,BreakfastTable[],4,FALSE),0)) + (A101 * IFERROR(VLOOKUP(B101,BreakfastTable[],4,FALSE),0))</f>
        <v>85.899999999999991</v>
      </c>
    </row>
    <row r="96" spans="1:16" x14ac:dyDescent="0.25">
      <c r="A96" s="17"/>
      <c r="B96" s="17"/>
      <c r="C96" s="17"/>
      <c r="D96" s="17"/>
      <c r="E96" s="17"/>
      <c r="F96" s="17"/>
      <c r="G96" s="60"/>
      <c r="H96" s="60"/>
      <c r="I96" s="57"/>
      <c r="J96" s="57"/>
      <c r="K96" s="57"/>
      <c r="L96" s="57"/>
      <c r="M96" s="61" t="s">
        <v>11</v>
      </c>
      <c r="N96" s="61">
        <f>(C98 * IFERROR(VLOOKUP(D98,LunchTable[],2,FALSE),0)) + (C99 * IFERROR(VLOOKUP(D99,LunchTable[],2,FALSE),0)) + (C100 * IFERROR(VLOOKUP(D100,LunchTable[],2,FALSE),0)) + (C101 * IFERROR(VLOOKUP(D101,LunchTable[],2,FALSE),0))</f>
        <v>57</v>
      </c>
      <c r="O96" s="61">
        <f>(C98 * IFERROR(VLOOKUP(D98,LunchTable[],3,FALSE),0)) + (C99 * IFERROR(VLOOKUP(D99,LunchTable[],3,FALSE),0)) + (C100 * IFERROR(VLOOKUP(D100,LunchTable[],3,FALSE),0)) + (C101 * IFERROR(VLOOKUP(D101,LunchTable[],3,FALSE),0))</f>
        <v>43</v>
      </c>
      <c r="P96" s="61">
        <f>(C98 * IFERROR(VLOOKUP(D98,LunchTable[],4,FALSE),0)) + (C99 * IFERROR(VLOOKUP(D99,LunchTable[],4,FALSE),0)) + (C100 * IFERROR(VLOOKUP(D100,LunchTable[],4,FALSE),0)) + (C101 * IFERROR(VLOOKUP(D101,LunchTable[],4,FALSE),0))</f>
        <v>99.5</v>
      </c>
    </row>
    <row r="97" spans="1:16" ht="18" thickBot="1" x14ac:dyDescent="0.35">
      <c r="A97" s="10" t="s">
        <v>34</v>
      </c>
      <c r="B97" s="11" t="s">
        <v>6</v>
      </c>
      <c r="C97" s="10" t="s">
        <v>34</v>
      </c>
      <c r="D97" s="11" t="s">
        <v>11</v>
      </c>
      <c r="E97" s="10" t="s">
        <v>34</v>
      </c>
      <c r="F97" s="11" t="s">
        <v>12</v>
      </c>
      <c r="G97" s="10" t="s">
        <v>34</v>
      </c>
      <c r="H97" s="12" t="s">
        <v>35</v>
      </c>
      <c r="I97" s="5" t="s">
        <v>41</v>
      </c>
      <c r="J97" s="5" t="s">
        <v>42</v>
      </c>
      <c r="K97" s="5" t="s">
        <v>43</v>
      </c>
      <c r="L97" s="57"/>
      <c r="M97" s="61" t="s">
        <v>12</v>
      </c>
      <c r="N97" s="61">
        <f>(E98 * IFERROR(VLOOKUP(F98,DinnerTable[],2,FALSE),0)) + (E99 * IFERROR(VLOOKUP(F99,DinnerTable[],2,FALSE),0)) + (E100 * IFERROR(VLOOKUP(F100,DinnerTable[],2,FALSE),0)) + (E101 * IFERROR(VLOOKUP(F101,DinnerTable[],2,FALSE),0))</f>
        <v>0</v>
      </c>
      <c r="O97" s="61">
        <f>(E98 * IFERROR(VLOOKUP(F98,DinnerTable[],3,FALSE),0)) + (E99 * IFERROR(VLOOKUP(F99,DinnerTable[],3,FALSE),0)) + (E100 * IFERROR(VLOOKUP(F100,DinnerTable[],3,FALSE),0)) + (E101 * IFERROR(VLOOKUP(F101,DinnerTable[],3,FALSE),0))</f>
        <v>0</v>
      </c>
      <c r="P97" s="61">
        <f>(E98 * IFERROR(VLOOKUP(F98,DinnerTable[],4,FALSE),0)) + (E99 * IFERROR(VLOOKUP(F99,DinnerTable[],4,FALSE),0)) + (E100 * IFERROR(VLOOKUP(F100,DinnerTable[],4,FALSE),0)) + (E101 * IFERROR(VLOOKUP(F101,DinnerTable[],4,FALSE),0))</f>
        <v>0</v>
      </c>
    </row>
    <row r="98" spans="1:16" ht="15.75" thickTop="1" x14ac:dyDescent="0.25">
      <c r="A98" s="17">
        <v>2</v>
      </c>
      <c r="B98" s="17" t="s">
        <v>27</v>
      </c>
      <c r="C98" s="17">
        <v>1</v>
      </c>
      <c r="D98" s="17" t="s">
        <v>25</v>
      </c>
      <c r="E98" s="17"/>
      <c r="F98" s="17"/>
      <c r="G98" s="17"/>
      <c r="H98" s="17"/>
      <c r="I98" s="2">
        <v>28</v>
      </c>
      <c r="J98" s="2">
        <v>25</v>
      </c>
      <c r="K98" s="2">
        <v>31</v>
      </c>
      <c r="L98" s="57"/>
      <c r="M98" s="61" t="s">
        <v>35</v>
      </c>
      <c r="N98" s="61">
        <f>(G98 * IFERROR(VLOOKUP(H98,PostWorkoutTable[],2,FALSE),0)) + (G99 * IFERROR(VLOOKUP(H99,PostWorkoutTable[],2,FALSE),0)) + (G100 * IFERROR(VLOOKUP(H100,PostWorkoutTable[],2,FALSE),0)) + (G101 * IFERROR(VLOOKUP(H101,PostWorkoutTable[],2,FALSE),0))</f>
        <v>0</v>
      </c>
      <c r="O98" s="61">
        <f>(G98 * IFERROR(VLOOKUP(H98,PostWorkoutTable[],3,FALSE),0)) + (G99 * IFERROR(VLOOKUP(H99,PostWorkoutTable[],3,FALSE),0)) + (G100 * IFERROR(VLOOKUP(H100,PostWorkoutTable[],3,FALSE),0)) + (G101 * IFERROR(VLOOKUP(H101,PostWorkoutTable[],3,FALSE),0))</f>
        <v>0</v>
      </c>
      <c r="P98" s="61">
        <f>(G98 * IFERROR(VLOOKUP(H98,PostWorkoutTable[],4,FALSE),0)) + (G99 * IFERROR(VLOOKUP(H99,PostWorkoutTable[],4,FALSE),0)) + (G100 * IFERROR(VLOOKUP(H100,PostWorkoutTable[],4,FALSE),0)) + (G101 * IFERROR(VLOOKUP(H101,PostWorkoutTable[],4,FALSE),0))</f>
        <v>0</v>
      </c>
    </row>
    <row r="99" spans="1:16" x14ac:dyDescent="0.25">
      <c r="A99" s="17">
        <v>1</v>
      </c>
      <c r="B99" s="17" t="s">
        <v>33</v>
      </c>
      <c r="C99" s="17">
        <v>1</v>
      </c>
      <c r="D99" s="17" t="s">
        <v>54</v>
      </c>
      <c r="E99" s="17"/>
      <c r="F99" s="17"/>
      <c r="G99" s="17"/>
      <c r="H99" s="17"/>
      <c r="I99" s="2"/>
      <c r="J99" s="2"/>
      <c r="K99" s="2"/>
      <c r="L99" s="57"/>
      <c r="M99" s="61" t="s">
        <v>21</v>
      </c>
      <c r="N99" s="61">
        <f xml:space="preserve"> SUM(I98:I101)</f>
        <v>28</v>
      </c>
      <c r="O99" s="61">
        <f>SUM(J98:J101)</f>
        <v>25</v>
      </c>
      <c r="P99" s="61">
        <f>SUM(K98:K101)</f>
        <v>31</v>
      </c>
    </row>
    <row r="100" spans="1:16" x14ac:dyDescent="0.25">
      <c r="A100" s="17"/>
      <c r="B100" s="17"/>
      <c r="C100" s="17"/>
      <c r="D100" s="17"/>
      <c r="E100" s="17"/>
      <c r="F100" s="17"/>
      <c r="G100" s="17"/>
      <c r="H100" s="17"/>
      <c r="I100" s="2"/>
      <c r="J100" s="2"/>
      <c r="K100" s="2"/>
      <c r="L100" s="57"/>
      <c r="M100" s="61" t="s">
        <v>38</v>
      </c>
      <c r="N100" s="61">
        <f>SUM(N95:N99)</f>
        <v>88.5</v>
      </c>
      <c r="O100" s="61">
        <f>SUM(O95:O99)</f>
        <v>69.2</v>
      </c>
      <c r="P100" s="61">
        <f>SUM(P95:P99)</f>
        <v>216.39999999999998</v>
      </c>
    </row>
    <row r="101" spans="1:16" x14ac:dyDescent="0.25">
      <c r="A101" s="17"/>
      <c r="B101" s="17"/>
      <c r="C101" s="17"/>
      <c r="D101" s="17"/>
      <c r="E101" s="17"/>
      <c r="F101" s="17"/>
      <c r="G101" s="17"/>
      <c r="H101" s="17"/>
      <c r="I101" s="2"/>
      <c r="J101" s="2"/>
      <c r="K101" s="2"/>
      <c r="L101" s="57"/>
      <c r="M101" s="57"/>
      <c r="N101" s="57"/>
      <c r="O101" s="57"/>
      <c r="P101" s="57"/>
    </row>
    <row r="102" spans="1:16" x14ac:dyDescent="0.25">
      <c r="A102" s="57"/>
      <c r="B102" s="57"/>
      <c r="C102" s="57"/>
      <c r="D102" s="57"/>
      <c r="E102" s="57"/>
      <c r="F102" s="57"/>
      <c r="G102" s="57"/>
      <c r="H102" s="57"/>
      <c r="I102" s="57">
        <f>SUM(I98:I101)</f>
        <v>28</v>
      </c>
      <c r="J102" s="57">
        <f>SUM(J98:J101)</f>
        <v>25</v>
      </c>
      <c r="K102" s="57">
        <f>SUM(K98:K101)</f>
        <v>31</v>
      </c>
      <c r="L102" s="57"/>
      <c r="M102" s="57"/>
      <c r="N102" s="57"/>
      <c r="O102" s="57"/>
      <c r="P102" s="57"/>
    </row>
    <row r="103" spans="1:16" ht="23.25" x14ac:dyDescent="0.35">
      <c r="A103" s="63">
        <v>43601</v>
      </c>
      <c r="B103" s="57"/>
      <c r="C103" s="57"/>
      <c r="D103" s="57"/>
      <c r="E103" s="57"/>
      <c r="F103" s="57"/>
      <c r="G103" s="57"/>
      <c r="H103" s="57"/>
      <c r="I103" s="57"/>
      <c r="J103" s="57"/>
      <c r="K103" s="57"/>
      <c r="L103" s="57"/>
      <c r="M103" s="57"/>
      <c r="N103" s="57"/>
      <c r="O103" s="57"/>
      <c r="P103" s="57"/>
    </row>
    <row r="104" spans="1:16" ht="18" thickBot="1" x14ac:dyDescent="0.35">
      <c r="A104" s="3" t="s">
        <v>48</v>
      </c>
      <c r="B104" s="3" t="s">
        <v>0</v>
      </c>
      <c r="C104" s="3" t="s">
        <v>36</v>
      </c>
      <c r="D104" s="3" t="s">
        <v>8</v>
      </c>
      <c r="E104" s="5" t="s">
        <v>9</v>
      </c>
      <c r="F104" s="5" t="s">
        <v>10</v>
      </c>
      <c r="G104" s="59"/>
      <c r="H104" s="60"/>
      <c r="I104" s="57"/>
      <c r="J104" s="57"/>
      <c r="K104" s="57"/>
      <c r="L104" s="57"/>
      <c r="M104" s="59"/>
      <c r="N104" s="61" t="s">
        <v>8</v>
      </c>
      <c r="O104" s="61" t="s">
        <v>9</v>
      </c>
      <c r="P104" s="61" t="s">
        <v>10</v>
      </c>
    </row>
    <row r="105" spans="1:16" ht="15.75" thickTop="1" x14ac:dyDescent="0.25">
      <c r="A105" s="18">
        <v>43598</v>
      </c>
      <c r="B105" s="16">
        <f>IFERROR(VLOOKUP(A105,OverviewTable[],2,FALSE),"?")</f>
        <v>132.4</v>
      </c>
      <c r="C105" s="16" t="str">
        <f>((N110 * 4) + (O110 * 9) + (P110 * 4))&amp;"/"&amp;IFERROR(VLOOKUP(A105,OverviewTable[],11,FALSE),"?")</f>
        <v>2295.225/2368.4</v>
      </c>
      <c r="D105" s="16" t="str">
        <f>N110&amp;"/"&amp;IFERROR(VLOOKUP(A105,OverviewTable[],12,FALSE),"?")</f>
        <v>160.225/132</v>
      </c>
      <c r="E105" s="16" t="str">
        <f>O110&amp;"/"&amp;IFERROR(VLOOKUP(A105,OverviewTable[],13,FALSE),"?")</f>
        <v>72.125/66</v>
      </c>
      <c r="F105" s="16" t="str">
        <f>P110&amp;"/"&amp;IFERROR(VLOOKUP(A105,OverviewTable[],14,FALSE),"?")</f>
        <v>251.3/312</v>
      </c>
      <c r="G105" s="60"/>
      <c r="H105" s="60"/>
      <c r="I105" s="57"/>
      <c r="J105" s="57"/>
      <c r="K105" s="57"/>
      <c r="L105" s="57"/>
      <c r="M105" s="61" t="s">
        <v>6</v>
      </c>
      <c r="N105" s="61">
        <f>(A108 * IFERROR(VLOOKUP(B108,BreakfastTable[],2,FALSE),0)) + (A109 * IFERROR(VLOOKUP(B109,BreakfastTable[],2,FALSE),0)) + (A110 * IFERROR(VLOOKUP(B110,BreakfastTable[],2,FALSE),0)) + (A111 * IFERROR(VLOOKUP(B111,BreakfastTable[],2,FALSE),0))</f>
        <v>21.6</v>
      </c>
      <c r="O105" s="61">
        <f>(A108 * IFERROR(VLOOKUP(B108,BreakfastTable[],3,FALSE),0)) + (A109 * IFERROR(VLOOKUP(B109,BreakfastTable[],3,FALSE),0)) + (A110 * IFERROR(VLOOKUP(B110,BreakfastTable[],3,FALSE),0)) + (A111 * IFERROR(VLOOKUP(B111,BreakfastTable[],3,FALSE),0))</f>
        <v>10.5</v>
      </c>
      <c r="P105" s="61">
        <f>(A108 * IFERROR(VLOOKUP(B108,BreakfastTable[],4,FALSE),0)) + (A109 * IFERROR(VLOOKUP(B109,BreakfastTable[],4,FALSE),0)) + (A110 * IFERROR(VLOOKUP(B110,BreakfastTable[],4,FALSE),0)) + (A111 * IFERROR(VLOOKUP(B111,BreakfastTable[],4,FALSE),0))</f>
        <v>55.3</v>
      </c>
    </row>
    <row r="106" spans="1:16" x14ac:dyDescent="0.25">
      <c r="A106" s="17"/>
      <c r="B106" s="17"/>
      <c r="C106" s="17"/>
      <c r="D106" s="17"/>
      <c r="E106" s="17"/>
      <c r="F106" s="17"/>
      <c r="G106" s="60"/>
      <c r="H106" s="60"/>
      <c r="I106" s="57"/>
      <c r="J106" s="57"/>
      <c r="K106" s="57"/>
      <c r="L106" s="57"/>
      <c r="M106" s="61" t="s">
        <v>11</v>
      </c>
      <c r="N106" s="61">
        <f>(C108 * IFERROR(VLOOKUP(D108,LunchTable[],2,FALSE),0)) + (C109 * IFERROR(VLOOKUP(D109,LunchTable[],2,FALSE),0)) + (C110 * IFERROR(VLOOKUP(D110,LunchTable[],2,FALSE),0)) + (C111 * IFERROR(VLOOKUP(D111,LunchTable[],2,FALSE),0))</f>
        <v>12</v>
      </c>
      <c r="O106" s="61">
        <f>(C108 * IFERROR(VLOOKUP(D108,LunchTable[],3,FALSE),0)) + (C109 * IFERROR(VLOOKUP(D109,LunchTable[],3,FALSE),0)) + (C110 * IFERROR(VLOOKUP(D110,LunchTable[],3,FALSE),0)) + (C111 * IFERROR(VLOOKUP(D111,LunchTable[],3,FALSE),0))</f>
        <v>0</v>
      </c>
      <c r="P106" s="61">
        <f>(C108 * IFERROR(VLOOKUP(D108,LunchTable[],4,FALSE),0)) + (C109 * IFERROR(VLOOKUP(D109,LunchTable[],4,FALSE),0)) + (C110 * IFERROR(VLOOKUP(D110,LunchTable[],4,FALSE),0)) + (C111 * IFERROR(VLOOKUP(D111,LunchTable[],4,FALSE),0))</f>
        <v>140</v>
      </c>
    </row>
    <row r="107" spans="1:16" ht="18" thickBot="1" x14ac:dyDescent="0.35">
      <c r="A107" s="10" t="s">
        <v>34</v>
      </c>
      <c r="B107" s="11" t="s">
        <v>6</v>
      </c>
      <c r="C107" s="10" t="s">
        <v>34</v>
      </c>
      <c r="D107" s="11" t="s">
        <v>11</v>
      </c>
      <c r="E107" s="10" t="s">
        <v>34</v>
      </c>
      <c r="F107" s="11" t="s">
        <v>12</v>
      </c>
      <c r="G107" s="10" t="s">
        <v>34</v>
      </c>
      <c r="H107" s="12" t="s">
        <v>35</v>
      </c>
      <c r="I107" s="5" t="s">
        <v>41</v>
      </c>
      <c r="J107" s="5" t="s">
        <v>42</v>
      </c>
      <c r="K107" s="5" t="s">
        <v>43</v>
      </c>
      <c r="L107" s="57"/>
      <c r="M107" s="61" t="s">
        <v>12</v>
      </c>
      <c r="N107" s="61">
        <f>(E108 * IFERROR(VLOOKUP(F108,DinnerTable[],2,FALSE),0)) + (E109 * IFERROR(VLOOKUP(F109,DinnerTable[],2,FALSE),0)) + (E110 * IFERROR(VLOOKUP(F110,DinnerTable[],2,FALSE),0)) + (E111 * IFERROR(VLOOKUP(F111,DinnerTable[],2,FALSE),0))</f>
        <v>126.625</v>
      </c>
      <c r="O107" s="61">
        <f>(E108 * IFERROR(VLOOKUP(F108,DinnerTable[],3,FALSE),0)) + (E109 * IFERROR(VLOOKUP(F109,DinnerTable[],3,FALSE),0)) + (E110 * IFERROR(VLOOKUP(F110,DinnerTable[],3,FALSE),0)) + (E111 * IFERROR(VLOOKUP(F111,DinnerTable[],3,FALSE),0))</f>
        <v>61.625</v>
      </c>
      <c r="P107" s="61">
        <f>(E108 * IFERROR(VLOOKUP(F108,DinnerTable[],4,FALSE),0)) + (E109 * IFERROR(VLOOKUP(F109,DinnerTable[],4,FALSE),0)) + (E110 * IFERROR(VLOOKUP(F110,DinnerTable[],4,FALSE),0)) + (E111 * IFERROR(VLOOKUP(F111,DinnerTable[],4,FALSE),0))</f>
        <v>56</v>
      </c>
    </row>
    <row r="108" spans="1:16" ht="15.75" thickTop="1" x14ac:dyDescent="0.25">
      <c r="A108" s="17">
        <v>1</v>
      </c>
      <c r="B108" s="17" t="s">
        <v>27</v>
      </c>
      <c r="C108" s="17">
        <v>1</v>
      </c>
      <c r="D108" s="17" t="s">
        <v>79</v>
      </c>
      <c r="E108" s="17">
        <v>1.5</v>
      </c>
      <c r="F108" s="17" t="s">
        <v>50</v>
      </c>
      <c r="G108" s="17"/>
      <c r="H108" s="17"/>
      <c r="I108" s="2"/>
      <c r="J108" s="2"/>
      <c r="K108" s="2"/>
      <c r="L108" s="57"/>
      <c r="M108" s="61" t="s">
        <v>35</v>
      </c>
      <c r="N108" s="61">
        <f>(G108 * IFERROR(VLOOKUP(H108,PostWorkoutTable[],2,FALSE),0)) + (G109 * IFERROR(VLOOKUP(H109,PostWorkoutTable[],2,FALSE),0)) + (G110 * IFERROR(VLOOKUP(H110,PostWorkoutTable[],2,FALSE),0)) + (G111 * IFERROR(VLOOKUP(H111,PostWorkoutTable[],2,FALSE),0))</f>
        <v>0</v>
      </c>
      <c r="O108" s="61">
        <f>(G108 * IFERROR(VLOOKUP(H108,PostWorkoutTable[],3,FALSE),0)) + (G109 * IFERROR(VLOOKUP(H109,PostWorkoutTable[],3,FALSE),0)) + (G110 * IFERROR(VLOOKUP(H110,PostWorkoutTable[],3,FALSE),0)) + (G111 * IFERROR(VLOOKUP(H111,PostWorkoutTable[],3,FALSE),0))</f>
        <v>0</v>
      </c>
      <c r="P108" s="61">
        <f>(G108 * IFERROR(VLOOKUP(H108,PostWorkoutTable[],4,FALSE),0)) + (G109 * IFERROR(VLOOKUP(H109,PostWorkoutTable[],4,FALSE),0)) + (G110 * IFERROR(VLOOKUP(H110,PostWorkoutTable[],4,FALSE),0)) + (G111 * IFERROR(VLOOKUP(H111,PostWorkoutTable[],4,FALSE),0))</f>
        <v>0</v>
      </c>
    </row>
    <row r="109" spans="1:16" x14ac:dyDescent="0.25">
      <c r="A109" s="17">
        <v>1</v>
      </c>
      <c r="B109" s="17" t="s">
        <v>105</v>
      </c>
      <c r="C109" s="17"/>
      <c r="D109" s="17"/>
      <c r="E109" s="17">
        <v>2</v>
      </c>
      <c r="F109" s="17" t="s">
        <v>66</v>
      </c>
      <c r="G109" s="17"/>
      <c r="H109" s="17"/>
      <c r="I109" s="2"/>
      <c r="J109" s="2"/>
      <c r="K109" s="2"/>
      <c r="L109" s="57"/>
      <c r="M109" s="61" t="s">
        <v>21</v>
      </c>
      <c r="N109" s="61">
        <f xml:space="preserve"> SUM(I108:I111)</f>
        <v>0</v>
      </c>
      <c r="O109" s="61">
        <f>SUM(J108:J111)</f>
        <v>0</v>
      </c>
      <c r="P109" s="61">
        <f>SUM(K108:K111)</f>
        <v>0</v>
      </c>
    </row>
    <row r="110" spans="1:16" x14ac:dyDescent="0.25">
      <c r="A110" s="17"/>
      <c r="B110" s="17"/>
      <c r="C110" s="17"/>
      <c r="D110" s="17"/>
      <c r="E110" s="17">
        <v>2</v>
      </c>
      <c r="F110" s="17" t="s">
        <v>65</v>
      </c>
      <c r="G110" s="17"/>
      <c r="H110" s="17"/>
      <c r="I110" s="2"/>
      <c r="J110" s="2"/>
      <c r="K110" s="2"/>
      <c r="L110" s="57"/>
      <c r="M110" s="61" t="s">
        <v>38</v>
      </c>
      <c r="N110" s="61">
        <f>SUM(N105:N109)</f>
        <v>160.22499999999999</v>
      </c>
      <c r="O110" s="61">
        <f>SUM(O105:O109)</f>
        <v>72.125</v>
      </c>
      <c r="P110" s="61">
        <f>SUM(P105:P109)</f>
        <v>251.3</v>
      </c>
    </row>
    <row r="111" spans="1:16" x14ac:dyDescent="0.25">
      <c r="A111" s="17"/>
      <c r="B111" s="17"/>
      <c r="C111" s="17"/>
      <c r="D111" s="17"/>
      <c r="E111" s="17">
        <v>0.25</v>
      </c>
      <c r="F111" s="17" t="s">
        <v>60</v>
      </c>
      <c r="G111" s="17"/>
      <c r="H111" s="17"/>
      <c r="I111" s="2"/>
      <c r="J111" s="2"/>
      <c r="K111" s="2"/>
      <c r="L111" s="57"/>
      <c r="M111" s="57"/>
      <c r="N111" s="57"/>
      <c r="O111" s="57"/>
      <c r="P111" s="57"/>
    </row>
    <row r="112" spans="1:16" x14ac:dyDescent="0.25">
      <c r="A112" s="57"/>
      <c r="B112" s="57"/>
      <c r="C112" s="57"/>
      <c r="D112" s="57"/>
      <c r="E112" s="57"/>
      <c r="F112" s="57"/>
      <c r="G112" s="57"/>
      <c r="H112" s="57"/>
      <c r="I112" s="57">
        <f>SUM(I108:I111)</f>
        <v>0</v>
      </c>
      <c r="J112" s="57">
        <f>SUM(J108:J111)</f>
        <v>0</v>
      </c>
      <c r="K112" s="57">
        <f>SUM(K108:K111)</f>
        <v>0</v>
      </c>
      <c r="L112" s="57"/>
      <c r="M112" s="57"/>
      <c r="N112" s="57"/>
      <c r="O112" s="57"/>
      <c r="P112" s="57"/>
    </row>
    <row r="113" spans="1:16" ht="23.25" x14ac:dyDescent="0.35">
      <c r="A113" s="63">
        <v>43602</v>
      </c>
      <c r="B113" s="57"/>
      <c r="C113" s="57"/>
      <c r="D113" s="57"/>
      <c r="E113" s="57"/>
      <c r="F113" s="57"/>
      <c r="G113" s="57"/>
      <c r="H113" s="57"/>
      <c r="I113" s="57"/>
      <c r="J113" s="57"/>
      <c r="K113" s="57"/>
      <c r="L113" s="57"/>
      <c r="M113" s="57"/>
      <c r="N113" s="57"/>
      <c r="O113" s="57"/>
      <c r="P113" s="57"/>
    </row>
    <row r="114" spans="1:16" ht="18" thickBot="1" x14ac:dyDescent="0.35">
      <c r="A114" s="3" t="s">
        <v>48</v>
      </c>
      <c r="B114" s="3" t="s">
        <v>0</v>
      </c>
      <c r="C114" s="3" t="s">
        <v>36</v>
      </c>
      <c r="D114" s="3" t="s">
        <v>8</v>
      </c>
      <c r="E114" s="5" t="s">
        <v>9</v>
      </c>
      <c r="F114" s="5" t="s">
        <v>10</v>
      </c>
      <c r="G114" s="59"/>
      <c r="H114" s="60"/>
      <c r="I114" s="57"/>
      <c r="J114" s="57"/>
      <c r="K114" s="57"/>
      <c r="L114" s="57"/>
      <c r="M114" s="59"/>
      <c r="N114" s="61" t="s">
        <v>8</v>
      </c>
      <c r="O114" s="61" t="s">
        <v>9</v>
      </c>
      <c r="P114" s="61" t="s">
        <v>10</v>
      </c>
    </row>
    <row r="115" spans="1:16" ht="15.75" thickTop="1" x14ac:dyDescent="0.25">
      <c r="A115" s="18">
        <v>43598</v>
      </c>
      <c r="B115" s="16">
        <f>IFERROR(VLOOKUP(A115,OverviewTable[],2,FALSE),"?")</f>
        <v>132.4</v>
      </c>
      <c r="C115" s="16" t="str">
        <f>((N120 * 4) + (O120 * 9) + (P120 * 4))&amp;"/"&amp;IFERROR(VLOOKUP(A115,OverviewTable[],11,FALSE),"?")</f>
        <v>1908.6/2368.4</v>
      </c>
      <c r="D115" s="16" t="str">
        <f>N120&amp;"/"&amp;IFERROR(VLOOKUP(A115,OverviewTable[],12,FALSE),"?")</f>
        <v>97.9/132</v>
      </c>
      <c r="E115" s="16" t="str">
        <f>O120&amp;"/"&amp;IFERROR(VLOOKUP(A115,OverviewTable[],13,FALSE),"?")</f>
        <v>69/66</v>
      </c>
      <c r="F115" s="16" t="str">
        <f>P120&amp;"/"&amp;IFERROR(VLOOKUP(A115,OverviewTable[],14,FALSE),"?")</f>
        <v>224/312</v>
      </c>
      <c r="G115" s="60"/>
      <c r="H115" s="60"/>
      <c r="I115" s="57"/>
      <c r="J115" s="57"/>
      <c r="K115" s="57"/>
      <c r="L115" s="57"/>
      <c r="M115" s="61" t="s">
        <v>6</v>
      </c>
      <c r="N115" s="61">
        <f>(A118 * IFERROR(VLOOKUP(B118,BreakfastTable[],2,FALSE),0)) + (A119 * IFERROR(VLOOKUP(B119,BreakfastTable[],2,FALSE),0)) + (A120 * IFERROR(VLOOKUP(B120,BreakfastTable[],2,FALSE),0)) + (A121 * IFERROR(VLOOKUP(B121,BreakfastTable[],2,FALSE),0))</f>
        <v>9</v>
      </c>
      <c r="O115" s="61">
        <f>(A118 * IFERROR(VLOOKUP(B118,BreakfastTable[],3,FALSE),0)) + (A119 * IFERROR(VLOOKUP(B119,BreakfastTable[],3,FALSE),0)) + (A120 * IFERROR(VLOOKUP(B120,BreakfastTable[],3,FALSE),0)) + (A121 * IFERROR(VLOOKUP(B121,BreakfastTable[],3,FALSE),0))</f>
        <v>1.5</v>
      </c>
      <c r="P115" s="61">
        <f>(A118 * IFERROR(VLOOKUP(B118,BreakfastTable[],4,FALSE),0)) + (A119 * IFERROR(VLOOKUP(B119,BreakfastTable[],4,FALSE),0)) + (A120 * IFERROR(VLOOKUP(B120,BreakfastTable[],4,FALSE),0)) + (A121 * IFERROR(VLOOKUP(B121,BreakfastTable[],4,FALSE),0))</f>
        <v>55</v>
      </c>
    </row>
    <row r="116" spans="1:16" x14ac:dyDescent="0.25">
      <c r="A116" s="17"/>
      <c r="B116" s="17"/>
      <c r="C116" s="17"/>
      <c r="D116" s="17"/>
      <c r="E116" s="17"/>
      <c r="F116" s="17"/>
      <c r="G116" s="60"/>
      <c r="H116" s="60"/>
      <c r="I116" s="57"/>
      <c r="J116" s="57"/>
      <c r="K116" s="57"/>
      <c r="L116" s="57"/>
      <c r="M116" s="61" t="s">
        <v>11</v>
      </c>
      <c r="N116" s="61">
        <f>(C118 * IFERROR(VLOOKUP(D118,LunchTable[],2,FALSE),0)) + (C119 * IFERROR(VLOOKUP(D119,LunchTable[],2,FALSE),0)) + (C120 * IFERROR(VLOOKUP(D120,LunchTable[],2,FALSE),0)) + (C121 * IFERROR(VLOOKUP(D121,LunchTable[],2,FALSE),0))</f>
        <v>0</v>
      </c>
      <c r="O116" s="61">
        <f>(C118 * IFERROR(VLOOKUP(D118,LunchTable[],3,FALSE),0)) + (C119 * IFERROR(VLOOKUP(D119,LunchTable[],3,FALSE),0)) + (C120 * IFERROR(VLOOKUP(D120,LunchTable[],3,FALSE),0)) + (C121 * IFERROR(VLOOKUP(D121,LunchTable[],3,FALSE),0))</f>
        <v>0</v>
      </c>
      <c r="P116" s="61">
        <f>(C118 * IFERROR(VLOOKUP(D118,LunchTable[],4,FALSE),0)) + (C119 * IFERROR(VLOOKUP(D119,LunchTable[],4,FALSE),0)) + (C120 * IFERROR(VLOOKUP(D120,LunchTable[],4,FALSE),0)) + (C121 * IFERROR(VLOOKUP(D121,LunchTable[],4,FALSE),0))</f>
        <v>0</v>
      </c>
    </row>
    <row r="117" spans="1:16" ht="18" thickBot="1" x14ac:dyDescent="0.35">
      <c r="A117" s="10" t="s">
        <v>34</v>
      </c>
      <c r="B117" s="11" t="s">
        <v>6</v>
      </c>
      <c r="C117" s="10" t="s">
        <v>34</v>
      </c>
      <c r="D117" s="11" t="s">
        <v>11</v>
      </c>
      <c r="E117" s="10" t="s">
        <v>34</v>
      </c>
      <c r="F117" s="11" t="s">
        <v>12</v>
      </c>
      <c r="G117" s="10" t="s">
        <v>34</v>
      </c>
      <c r="H117" s="12" t="s">
        <v>35</v>
      </c>
      <c r="I117" s="5" t="s">
        <v>41</v>
      </c>
      <c r="J117" s="5" t="s">
        <v>42</v>
      </c>
      <c r="K117" s="5" t="s">
        <v>43</v>
      </c>
      <c r="L117" s="57"/>
      <c r="M117" s="61" t="s">
        <v>12</v>
      </c>
      <c r="N117" s="61">
        <f>(E118 * IFERROR(VLOOKUP(F118,DinnerTable[],2,FALSE),0)) + (E119 * IFERROR(VLOOKUP(F119,DinnerTable[],2,FALSE),0)) + (E120 * IFERROR(VLOOKUP(F120,DinnerTable[],2,FALSE),0)) + (E121 * IFERROR(VLOOKUP(F121,DinnerTable[],2,FALSE),0))</f>
        <v>0</v>
      </c>
      <c r="O117" s="61">
        <f>(E118 * IFERROR(VLOOKUP(F118,DinnerTable[],3,FALSE),0)) + (E119 * IFERROR(VLOOKUP(F119,DinnerTable[],3,FALSE),0)) + (E120 * IFERROR(VLOOKUP(F120,DinnerTable[],3,FALSE),0)) + (E121 * IFERROR(VLOOKUP(F121,DinnerTable[],3,FALSE),0))</f>
        <v>0</v>
      </c>
      <c r="P117" s="61">
        <f>(E118 * IFERROR(VLOOKUP(F118,DinnerTable[],4,FALSE),0)) + (E119 * IFERROR(VLOOKUP(F119,DinnerTable[],4,FALSE),0)) + (E120 * IFERROR(VLOOKUP(F120,DinnerTable[],4,FALSE),0)) + (E121 * IFERROR(VLOOKUP(F121,DinnerTable[],4,FALSE),0))</f>
        <v>0</v>
      </c>
    </row>
    <row r="118" spans="1:16" ht="15.75" thickTop="1" x14ac:dyDescent="0.25">
      <c r="A118" s="17">
        <v>1</v>
      </c>
      <c r="B118" s="17" t="s">
        <v>107</v>
      </c>
      <c r="C118" s="17"/>
      <c r="D118" s="17"/>
      <c r="E118" s="17"/>
      <c r="F118" s="17"/>
      <c r="G118" s="17"/>
      <c r="H118" s="17"/>
      <c r="I118" s="2">
        <v>38</v>
      </c>
      <c r="J118" s="2">
        <v>30</v>
      </c>
      <c r="K118" s="2">
        <v>40</v>
      </c>
      <c r="L118" s="57"/>
      <c r="M118" s="61" t="s">
        <v>35</v>
      </c>
      <c r="N118" s="61">
        <f>(G118 * IFERROR(VLOOKUP(H118,PostWorkoutTable[],2,FALSE),0)) + (G119 * IFERROR(VLOOKUP(H119,PostWorkoutTable[],2,FALSE),0)) + (G120 * IFERROR(VLOOKUP(H120,PostWorkoutTable[],2,FALSE),0)) + (G121 * IFERROR(VLOOKUP(H121,PostWorkoutTable[],2,FALSE),0))</f>
        <v>0</v>
      </c>
      <c r="O118" s="61">
        <f>(G118 * IFERROR(VLOOKUP(H118,PostWorkoutTable[],3,FALSE),0)) + (G119 * IFERROR(VLOOKUP(H119,PostWorkoutTable[],3,FALSE),0)) + (G120 * IFERROR(VLOOKUP(H120,PostWorkoutTable[],3,FALSE),0)) + (G121 * IFERROR(VLOOKUP(H121,PostWorkoutTable[],3,FALSE),0))</f>
        <v>0</v>
      </c>
      <c r="P118" s="61">
        <f>(G118 * IFERROR(VLOOKUP(H118,PostWorkoutTable[],4,FALSE),0)) + (G119 * IFERROR(VLOOKUP(H119,PostWorkoutTable[],4,FALSE),0)) + (G120 * IFERROR(VLOOKUP(H120,PostWorkoutTable[],4,FALSE),0)) + (G121 * IFERROR(VLOOKUP(H121,PostWorkoutTable[],4,FALSE),0))</f>
        <v>0</v>
      </c>
    </row>
    <row r="119" spans="1:16" x14ac:dyDescent="0.25">
      <c r="A119" s="17"/>
      <c r="B119" s="17"/>
      <c r="C119" s="17"/>
      <c r="D119" s="17"/>
      <c r="E119" s="17"/>
      <c r="F119" s="17"/>
      <c r="G119" s="17"/>
      <c r="H119" s="17"/>
      <c r="I119" s="2">
        <v>2.4</v>
      </c>
      <c r="J119" s="2">
        <v>10</v>
      </c>
      <c r="K119" s="2">
        <v>29</v>
      </c>
      <c r="L119" s="57"/>
      <c r="M119" s="61" t="s">
        <v>21</v>
      </c>
      <c r="N119" s="61">
        <f xml:space="preserve"> SUM(I118:I121)</f>
        <v>88.9</v>
      </c>
      <c r="O119" s="61">
        <f>SUM(J118:J121)</f>
        <v>67.5</v>
      </c>
      <c r="P119" s="61">
        <f>SUM(K118:K121)</f>
        <v>169</v>
      </c>
    </row>
    <row r="120" spans="1:16" x14ac:dyDescent="0.25">
      <c r="A120" s="17"/>
      <c r="B120" s="17"/>
      <c r="C120" s="17"/>
      <c r="D120" s="17"/>
      <c r="E120" s="17"/>
      <c r="F120" s="17"/>
      <c r="G120" s="17"/>
      <c r="H120" s="17"/>
      <c r="I120" s="2">
        <v>48.5</v>
      </c>
      <c r="J120" s="2">
        <v>27.5</v>
      </c>
      <c r="K120" s="2">
        <v>62</v>
      </c>
      <c r="L120" s="57"/>
      <c r="M120" s="61" t="s">
        <v>38</v>
      </c>
      <c r="N120" s="61">
        <f>SUM(N115:N119)</f>
        <v>97.9</v>
      </c>
      <c r="O120" s="61">
        <f>SUM(O115:O119)</f>
        <v>69</v>
      </c>
      <c r="P120" s="61">
        <f>SUM(P115:P119)</f>
        <v>224</v>
      </c>
    </row>
    <row r="121" spans="1:16" x14ac:dyDescent="0.25">
      <c r="A121" s="17"/>
      <c r="B121" s="17"/>
      <c r="C121" s="17"/>
      <c r="D121" s="17"/>
      <c r="E121" s="17"/>
      <c r="F121" s="17"/>
      <c r="G121" s="17"/>
      <c r="H121" s="17"/>
      <c r="I121" s="2">
        <v>0</v>
      </c>
      <c r="J121" s="2">
        <v>0</v>
      </c>
      <c r="K121" s="2">
        <v>38</v>
      </c>
      <c r="L121" s="57"/>
      <c r="M121" s="57"/>
      <c r="N121" s="57"/>
      <c r="O121" s="57"/>
      <c r="P121" s="57"/>
    </row>
    <row r="122" spans="1:16" x14ac:dyDescent="0.25">
      <c r="A122" s="57"/>
      <c r="B122" s="57"/>
      <c r="C122" s="57"/>
      <c r="D122" s="57"/>
      <c r="E122" s="57"/>
      <c r="F122" s="57"/>
      <c r="G122" s="57"/>
      <c r="H122" s="57"/>
      <c r="I122" s="57">
        <f>SUM(I118:I121)</f>
        <v>88.9</v>
      </c>
      <c r="J122" s="57">
        <f>SUM(J118:J121)</f>
        <v>67.5</v>
      </c>
      <c r="K122" s="57">
        <f>SUM(K118:K121)</f>
        <v>169</v>
      </c>
      <c r="L122" s="57"/>
      <c r="M122" s="57"/>
      <c r="N122" s="57"/>
      <c r="O122" s="57"/>
      <c r="P122" s="57"/>
    </row>
    <row r="123" spans="1:16" ht="23.25" x14ac:dyDescent="0.35">
      <c r="A123" s="63">
        <v>43603</v>
      </c>
      <c r="B123" s="57"/>
      <c r="C123" s="57"/>
      <c r="D123" s="57"/>
      <c r="E123" s="57"/>
      <c r="F123" s="57"/>
      <c r="G123" s="57"/>
      <c r="H123" s="57"/>
      <c r="I123" s="57"/>
      <c r="J123" s="57"/>
      <c r="K123" s="57"/>
      <c r="L123" s="57"/>
      <c r="M123" s="57"/>
      <c r="N123" s="57"/>
      <c r="O123" s="57"/>
      <c r="P123" s="57"/>
    </row>
    <row r="124" spans="1:16" ht="18" thickBot="1" x14ac:dyDescent="0.35">
      <c r="A124" s="3" t="s">
        <v>48</v>
      </c>
      <c r="B124" s="3" t="s">
        <v>0</v>
      </c>
      <c r="C124" s="3" t="s">
        <v>36</v>
      </c>
      <c r="D124" s="3" t="s">
        <v>8</v>
      </c>
      <c r="E124" s="5" t="s">
        <v>9</v>
      </c>
      <c r="F124" s="5" t="s">
        <v>10</v>
      </c>
      <c r="G124" s="59"/>
      <c r="H124" s="60"/>
      <c r="I124" s="57"/>
      <c r="J124" s="57"/>
      <c r="K124" s="57"/>
      <c r="L124" s="57"/>
      <c r="M124" s="59"/>
      <c r="N124" s="61" t="s">
        <v>8</v>
      </c>
      <c r="O124" s="61" t="s">
        <v>9</v>
      </c>
      <c r="P124" s="61" t="s">
        <v>10</v>
      </c>
    </row>
    <row r="125" spans="1:16" ht="15.75" thickTop="1" x14ac:dyDescent="0.25">
      <c r="A125" s="18">
        <v>43598</v>
      </c>
      <c r="B125" s="16">
        <f>IFERROR(VLOOKUP(A125,OverviewTable[],2,FALSE),"?")</f>
        <v>132.4</v>
      </c>
      <c r="C125" s="16" t="str">
        <f>((N130 * 4) + (O130 * 9) + (P130 * 4))&amp;"/"&amp;IFERROR(VLOOKUP(A125,OverviewTable[],11,FALSE),"?")</f>
        <v>2081/2368.4</v>
      </c>
      <c r="D125" s="16" t="str">
        <f>N130&amp;"/"&amp;IFERROR(VLOOKUP(A125,OverviewTable[],12,FALSE),"?")</f>
        <v>84.7/132</v>
      </c>
      <c r="E125" s="16" t="str">
        <f>O130&amp;"/"&amp;IFERROR(VLOOKUP(A125,OverviewTable[],13,FALSE),"?")</f>
        <v>55/66</v>
      </c>
      <c r="F125" s="16" t="str">
        <f>P130&amp;"/"&amp;IFERROR(VLOOKUP(A125,OverviewTable[],14,FALSE),"?")</f>
        <v>311.8/312</v>
      </c>
      <c r="G125" s="60"/>
      <c r="H125" s="60"/>
      <c r="I125" s="57"/>
      <c r="J125" s="57"/>
      <c r="K125" s="57"/>
      <c r="L125" s="57"/>
      <c r="M125" s="61" t="s">
        <v>6</v>
      </c>
      <c r="N125" s="61">
        <f>(A128 * IFERROR(VLOOKUP(B128,BreakfastTable[],2,FALSE),0)) + (A129 * IFERROR(VLOOKUP(B129,BreakfastTable[],2,FALSE),0)) + (A130 * IFERROR(VLOOKUP(B130,BreakfastTable[],2,FALSE),0)) + (A131 * IFERROR(VLOOKUP(B131,BreakfastTable[],2,FALSE),0))</f>
        <v>25.6</v>
      </c>
      <c r="O125" s="61">
        <f>(A128 * IFERROR(VLOOKUP(B128,BreakfastTable[],3,FALSE),0)) + (A129 * IFERROR(VLOOKUP(B129,BreakfastTable[],3,FALSE),0)) + (A130 * IFERROR(VLOOKUP(B130,BreakfastTable[],3,FALSE),0)) + (A131 * IFERROR(VLOOKUP(B131,BreakfastTable[],3,FALSE),0))</f>
        <v>27</v>
      </c>
      <c r="P125" s="61">
        <f>(A128 * IFERROR(VLOOKUP(B128,BreakfastTable[],4,FALSE),0)) + (A129 * IFERROR(VLOOKUP(B129,BreakfastTable[],4,FALSE),0)) + (A130 * IFERROR(VLOOKUP(B130,BreakfastTable[],4,FALSE),0)) + (A131 * IFERROR(VLOOKUP(B131,BreakfastTable[],4,FALSE),0))</f>
        <v>110.5</v>
      </c>
    </row>
    <row r="126" spans="1:16" x14ac:dyDescent="0.25">
      <c r="A126" s="17"/>
      <c r="B126" s="17"/>
      <c r="C126" s="17"/>
      <c r="D126" s="17"/>
      <c r="E126" s="17"/>
      <c r="F126" s="17"/>
      <c r="G126" s="60"/>
      <c r="H126" s="60"/>
      <c r="I126" s="57"/>
      <c r="J126" s="57"/>
      <c r="K126" s="57"/>
      <c r="L126" s="57"/>
      <c r="M126" s="61" t="s">
        <v>11</v>
      </c>
      <c r="N126" s="61">
        <f>(C128 * IFERROR(VLOOKUP(D128,LunchTable[],2,FALSE),0)) + (C129 * IFERROR(VLOOKUP(D129,LunchTable[],2,FALSE),0)) + (C130 * IFERROR(VLOOKUP(D130,LunchTable[],2,FALSE),0)) + (C131 * IFERROR(VLOOKUP(D131,LunchTable[],2,FALSE),0))</f>
        <v>0</v>
      </c>
      <c r="O126" s="61">
        <f>(C128 * IFERROR(VLOOKUP(D128,LunchTable[],3,FALSE),0)) + (C129 * IFERROR(VLOOKUP(D129,LunchTable[],3,FALSE),0)) + (C130 * IFERROR(VLOOKUP(D130,LunchTable[],3,FALSE),0)) + (C131 * IFERROR(VLOOKUP(D131,LunchTable[],3,FALSE),0))</f>
        <v>0</v>
      </c>
      <c r="P126" s="61">
        <f>(C128 * IFERROR(VLOOKUP(D128,LunchTable[],4,FALSE),0)) + (C129 * IFERROR(VLOOKUP(D129,LunchTable[],4,FALSE),0)) + (C130 * IFERROR(VLOOKUP(D130,LunchTable[],4,FALSE),0)) + (C131 * IFERROR(VLOOKUP(D131,LunchTable[],4,FALSE),0))</f>
        <v>0</v>
      </c>
    </row>
    <row r="127" spans="1:16" ht="18" thickBot="1" x14ac:dyDescent="0.35">
      <c r="A127" s="10" t="s">
        <v>34</v>
      </c>
      <c r="B127" s="11" t="s">
        <v>6</v>
      </c>
      <c r="C127" s="10" t="s">
        <v>34</v>
      </c>
      <c r="D127" s="11" t="s">
        <v>11</v>
      </c>
      <c r="E127" s="10" t="s">
        <v>34</v>
      </c>
      <c r="F127" s="11" t="s">
        <v>12</v>
      </c>
      <c r="G127" s="10" t="s">
        <v>34</v>
      </c>
      <c r="H127" s="12" t="s">
        <v>35</v>
      </c>
      <c r="I127" s="5" t="s">
        <v>41</v>
      </c>
      <c r="J127" s="5" t="s">
        <v>42</v>
      </c>
      <c r="K127" s="5" t="s">
        <v>43</v>
      </c>
      <c r="L127" s="57"/>
      <c r="M127" s="61" t="s">
        <v>12</v>
      </c>
      <c r="N127" s="61">
        <f>(E128 * IFERROR(VLOOKUP(F128,DinnerTable[],2,FALSE),0)) + (E129 * IFERROR(VLOOKUP(F129,DinnerTable[],2,FALSE),0)) + (E130 * IFERROR(VLOOKUP(F130,DinnerTable[],2,FALSE),0)) + (E131 * IFERROR(VLOOKUP(F131,DinnerTable[],2,FALSE),0))</f>
        <v>9</v>
      </c>
      <c r="O127" s="61">
        <f>(E128 * IFERROR(VLOOKUP(F128,DinnerTable[],3,FALSE),0)) + (E129 * IFERROR(VLOOKUP(F129,DinnerTable[],3,FALSE),0)) + (E130 * IFERROR(VLOOKUP(F130,DinnerTable[],3,FALSE),0)) + (E131 * IFERROR(VLOOKUP(F131,DinnerTable[],3,FALSE),0))</f>
        <v>0</v>
      </c>
      <c r="P127" s="61">
        <f>(E128 * IFERROR(VLOOKUP(F128,DinnerTable[],4,FALSE),0)) + (E129 * IFERROR(VLOOKUP(F129,DinnerTable[],4,FALSE),0)) + (E130 * IFERROR(VLOOKUP(F130,DinnerTable[],4,FALSE),0)) + (E131 * IFERROR(VLOOKUP(F131,DinnerTable[],4,FALSE),0))</f>
        <v>105</v>
      </c>
    </row>
    <row r="128" spans="1:16" ht="15.75" thickTop="1" x14ac:dyDescent="0.25">
      <c r="A128" s="17">
        <v>1</v>
      </c>
      <c r="B128" s="17" t="s">
        <v>119</v>
      </c>
      <c r="C128" s="17"/>
      <c r="D128" s="17"/>
      <c r="E128" s="17">
        <v>0.75</v>
      </c>
      <c r="F128" s="17" t="s">
        <v>79</v>
      </c>
      <c r="G128" s="17">
        <v>1</v>
      </c>
      <c r="H128" s="17" t="s">
        <v>27</v>
      </c>
      <c r="I128" s="2">
        <v>48.5</v>
      </c>
      <c r="J128" s="2">
        <v>27.5</v>
      </c>
      <c r="K128" s="2">
        <v>62</v>
      </c>
      <c r="L128" s="57"/>
      <c r="M128" s="61" t="s">
        <v>35</v>
      </c>
      <c r="N128" s="61">
        <f>(G128 * IFERROR(VLOOKUP(H128,PostWorkoutTable[],2,FALSE),0)) + (G129 * IFERROR(VLOOKUP(H129,PostWorkoutTable[],2,FALSE),0)) + (G130 * IFERROR(VLOOKUP(H130,PostWorkoutTable[],2,FALSE),0)) + (G131 * IFERROR(VLOOKUP(H131,PostWorkoutTable[],2,FALSE),0))</f>
        <v>1.6</v>
      </c>
      <c r="O128" s="61">
        <f>(G128 * IFERROR(VLOOKUP(H128,PostWorkoutTable[],3,FALSE),0)) + (G129 * IFERROR(VLOOKUP(H129,PostWorkoutTable[],3,FALSE),0)) + (G130 * IFERROR(VLOOKUP(H130,PostWorkoutTable[],3,FALSE),0)) + (G131 * IFERROR(VLOOKUP(H131,PostWorkoutTable[],3,FALSE),0))</f>
        <v>0.5</v>
      </c>
      <c r="P128" s="61">
        <f>(G128 * IFERROR(VLOOKUP(H128,PostWorkoutTable[],4,FALSE),0)) + (G129 * IFERROR(VLOOKUP(H129,PostWorkoutTable[],4,FALSE),0)) + (G130 * IFERROR(VLOOKUP(H130,PostWorkoutTable[],4,FALSE),0)) + (G131 * IFERROR(VLOOKUP(H131,PostWorkoutTable[],4,FALSE),0))</f>
        <v>34.299999999999997</v>
      </c>
    </row>
    <row r="129" spans="1:16" x14ac:dyDescent="0.25">
      <c r="A129" s="17">
        <v>1</v>
      </c>
      <c r="B129" s="17" t="s">
        <v>100</v>
      </c>
      <c r="C129" s="17"/>
      <c r="D129" s="17"/>
      <c r="E129" s="17"/>
      <c r="F129" s="17"/>
      <c r="G129" s="17"/>
      <c r="H129" s="17"/>
      <c r="I129" s="2"/>
      <c r="J129" s="2"/>
      <c r="K129" s="2"/>
      <c r="L129" s="57"/>
      <c r="M129" s="61" t="s">
        <v>21</v>
      </c>
      <c r="N129" s="61">
        <f xml:space="preserve"> SUM(I128:I131)</f>
        <v>48.5</v>
      </c>
      <c r="O129" s="61">
        <f>SUM(J128:J131)</f>
        <v>27.5</v>
      </c>
      <c r="P129" s="61">
        <f>SUM(K128:K131)</f>
        <v>62</v>
      </c>
    </row>
    <row r="130" spans="1:16" x14ac:dyDescent="0.25">
      <c r="A130" s="17">
        <v>2</v>
      </c>
      <c r="B130" s="17" t="s">
        <v>120</v>
      </c>
      <c r="C130" s="17"/>
      <c r="D130" s="17"/>
      <c r="E130" s="17"/>
      <c r="F130" s="17"/>
      <c r="G130" s="17"/>
      <c r="H130" s="17"/>
      <c r="I130" s="2"/>
      <c r="J130" s="2"/>
      <c r="K130" s="2"/>
      <c r="L130" s="57"/>
      <c r="M130" s="61" t="s">
        <v>38</v>
      </c>
      <c r="N130" s="61">
        <f>SUM(N125:N129)</f>
        <v>84.7</v>
      </c>
      <c r="O130" s="61">
        <f>SUM(O125:O129)</f>
        <v>55</v>
      </c>
      <c r="P130" s="61">
        <f>SUM(P125:P129)</f>
        <v>311.8</v>
      </c>
    </row>
    <row r="131" spans="1:16" x14ac:dyDescent="0.25">
      <c r="A131" s="17"/>
      <c r="B131" s="17"/>
      <c r="C131" s="17"/>
      <c r="D131" s="17"/>
      <c r="E131" s="17"/>
      <c r="F131" s="17"/>
      <c r="G131" s="17"/>
      <c r="H131" s="17"/>
      <c r="I131" s="2"/>
      <c r="J131" s="2"/>
      <c r="K131" s="2"/>
      <c r="L131" s="57"/>
      <c r="M131" s="57"/>
      <c r="N131" s="57"/>
      <c r="O131" s="57"/>
      <c r="P131" s="57"/>
    </row>
    <row r="132" spans="1:16" x14ac:dyDescent="0.25">
      <c r="A132" s="57"/>
      <c r="B132" s="57"/>
      <c r="C132" s="57"/>
      <c r="D132" s="57"/>
      <c r="E132" s="57"/>
      <c r="F132" s="57"/>
      <c r="G132" s="57"/>
      <c r="H132" s="57"/>
      <c r="I132" s="57">
        <f>SUM(I128:I131)</f>
        <v>48.5</v>
      </c>
      <c r="J132" s="57">
        <f>SUM(J128:J131)</f>
        <v>27.5</v>
      </c>
      <c r="K132" s="57">
        <f>SUM(K128:K131)</f>
        <v>62</v>
      </c>
      <c r="L132" s="57"/>
      <c r="M132" s="57"/>
      <c r="N132" s="57"/>
      <c r="O132" s="57"/>
      <c r="P132" s="57"/>
    </row>
    <row r="133" spans="1:16" ht="23.25" x14ac:dyDescent="0.35">
      <c r="A133" s="63">
        <v>43604</v>
      </c>
      <c r="B133" s="57"/>
      <c r="C133" s="57"/>
      <c r="D133" s="57"/>
      <c r="E133" s="57"/>
      <c r="F133" s="57"/>
      <c r="G133" s="57"/>
      <c r="H133" s="57"/>
      <c r="I133" s="57"/>
      <c r="J133" s="57"/>
      <c r="K133" s="57"/>
      <c r="L133" s="57"/>
      <c r="M133" s="57"/>
      <c r="N133" s="57"/>
      <c r="O133" s="57"/>
      <c r="P133" s="57"/>
    </row>
    <row r="134" spans="1:16" ht="18" thickBot="1" x14ac:dyDescent="0.35">
      <c r="A134" s="3" t="s">
        <v>48</v>
      </c>
      <c r="B134" s="3" t="s">
        <v>0</v>
      </c>
      <c r="C134" s="3" t="s">
        <v>36</v>
      </c>
      <c r="D134" s="3" t="s">
        <v>8</v>
      </c>
      <c r="E134" s="5" t="s">
        <v>9</v>
      </c>
      <c r="F134" s="5" t="s">
        <v>10</v>
      </c>
      <c r="G134" s="59"/>
      <c r="H134" s="60"/>
      <c r="I134" s="57"/>
      <c r="J134" s="57"/>
      <c r="K134" s="57"/>
      <c r="L134" s="57"/>
      <c r="M134" s="59"/>
      <c r="N134" s="61" t="s">
        <v>8</v>
      </c>
      <c r="O134" s="61" t="s">
        <v>9</v>
      </c>
      <c r="P134" s="61" t="s">
        <v>10</v>
      </c>
    </row>
    <row r="135" spans="1:16" ht="15.75" thickTop="1" x14ac:dyDescent="0.25">
      <c r="A135" s="18">
        <v>43598</v>
      </c>
      <c r="B135" s="16">
        <f>IFERROR(VLOOKUP(A135,OverviewTable[],2,FALSE),"?")</f>
        <v>132.4</v>
      </c>
      <c r="C135" s="16" t="str">
        <f>((N140 * 4) + (O140 * 9) + (P140 * 4))&amp;"/"&amp;IFERROR(VLOOKUP(A135,OverviewTable[],11,FALSE),"?")</f>
        <v>1532/2368.4</v>
      </c>
      <c r="D135" s="16" t="str">
        <f>N140&amp;"/"&amp;IFERROR(VLOOKUP(A135,OverviewTable[],12,FALSE),"?")</f>
        <v>92.2/132</v>
      </c>
      <c r="E135" s="16" t="str">
        <f>O140&amp;"/"&amp;IFERROR(VLOOKUP(A135,OverviewTable[],13,FALSE),"?")</f>
        <v>78.4/66</v>
      </c>
      <c r="F135" s="16" t="str">
        <f>P140&amp;"/"&amp;IFERROR(VLOOKUP(A135,OverviewTable[],14,FALSE),"?")</f>
        <v>114.4/312</v>
      </c>
      <c r="G135" s="60"/>
      <c r="H135" s="60"/>
      <c r="I135" s="57"/>
      <c r="J135" s="57"/>
      <c r="K135" s="57"/>
      <c r="L135" s="57"/>
      <c r="M135" s="61" t="s">
        <v>6</v>
      </c>
      <c r="N135" s="61">
        <f>(A138 * IFERROR(VLOOKUP(B138,BreakfastTable[],2,FALSE),0)) + (A139 * IFERROR(VLOOKUP(B139,BreakfastTable[],2,FALSE),0)) + (A140 * IFERROR(VLOOKUP(B140,BreakfastTable[],2,FALSE),0)) + (A141 * IFERROR(VLOOKUP(B141,BreakfastTable[],2,FALSE),0))</f>
        <v>32.200000000000003</v>
      </c>
      <c r="O135" s="61">
        <f>(A138 * IFERROR(VLOOKUP(B138,BreakfastTable[],3,FALSE),0)) + (A139 * IFERROR(VLOOKUP(B139,BreakfastTable[],3,FALSE),0)) + (A140 * IFERROR(VLOOKUP(B140,BreakfastTable[],3,FALSE),0)) + (A141 * IFERROR(VLOOKUP(B141,BreakfastTable[],3,FALSE),0))</f>
        <v>14.9</v>
      </c>
      <c r="P135" s="61">
        <f>(A138 * IFERROR(VLOOKUP(B138,BreakfastTable[],4,FALSE),0)) + (A139 * IFERROR(VLOOKUP(B139,BreakfastTable[],4,FALSE),0)) + (A140 * IFERROR(VLOOKUP(B140,BreakfastTable[],4,FALSE),0)) + (A141 * IFERROR(VLOOKUP(B141,BreakfastTable[],4,FALSE),0))</f>
        <v>50.4</v>
      </c>
    </row>
    <row r="136" spans="1:16" x14ac:dyDescent="0.25">
      <c r="A136" s="17"/>
      <c r="B136" s="17"/>
      <c r="C136" s="17"/>
      <c r="D136" s="17"/>
      <c r="E136" s="17"/>
      <c r="F136" s="17"/>
      <c r="G136" s="60"/>
      <c r="H136" s="60"/>
      <c r="I136" s="57"/>
      <c r="J136" s="57"/>
      <c r="K136" s="57"/>
      <c r="L136" s="57"/>
      <c r="M136" s="61" t="s">
        <v>11</v>
      </c>
      <c r="N136" s="61">
        <f>(C138 * IFERROR(VLOOKUP(D138,LunchTable[],2,FALSE),0)) + (C139 * IFERROR(VLOOKUP(D139,LunchTable[],2,FALSE),0)) + (C140 * IFERROR(VLOOKUP(D140,LunchTable[],2,FALSE),0)) + (C141 * IFERROR(VLOOKUP(D141,LunchTable[],2,FALSE),0))</f>
        <v>25</v>
      </c>
      <c r="O136" s="61">
        <f>(C138 * IFERROR(VLOOKUP(D138,LunchTable[],3,FALSE),0)) + (C139 * IFERROR(VLOOKUP(D139,LunchTable[],3,FALSE),0)) + (C140 * IFERROR(VLOOKUP(D140,LunchTable[],3,FALSE),0)) + (C141 * IFERROR(VLOOKUP(D141,LunchTable[],3,FALSE),0))</f>
        <v>13.5</v>
      </c>
      <c r="P136" s="61">
        <f>(C138 * IFERROR(VLOOKUP(D138,LunchTable[],4,FALSE),0)) + (C139 * IFERROR(VLOOKUP(D139,LunchTable[],4,FALSE),0)) + (C140 * IFERROR(VLOOKUP(D140,LunchTable[],4,FALSE),0)) + (C141 * IFERROR(VLOOKUP(D141,LunchTable[],4,FALSE),0))</f>
        <v>4</v>
      </c>
    </row>
    <row r="137" spans="1:16" ht="18" thickBot="1" x14ac:dyDescent="0.35">
      <c r="A137" s="10" t="s">
        <v>34</v>
      </c>
      <c r="B137" s="11" t="s">
        <v>6</v>
      </c>
      <c r="C137" s="10" t="s">
        <v>34</v>
      </c>
      <c r="D137" s="11" t="s">
        <v>11</v>
      </c>
      <c r="E137" s="10" t="s">
        <v>34</v>
      </c>
      <c r="F137" s="11" t="s">
        <v>12</v>
      </c>
      <c r="G137" s="10" t="s">
        <v>34</v>
      </c>
      <c r="H137" s="12" t="s">
        <v>35</v>
      </c>
      <c r="I137" s="5" t="s">
        <v>41</v>
      </c>
      <c r="J137" s="5" t="s">
        <v>42</v>
      </c>
      <c r="K137" s="5" t="s">
        <v>43</v>
      </c>
      <c r="L137" s="57"/>
      <c r="M137" s="61" t="s">
        <v>12</v>
      </c>
      <c r="N137" s="61">
        <f>(E138 * IFERROR(VLOOKUP(F138,DinnerTable[],2,FALSE),0)) + (E139 * IFERROR(VLOOKUP(F139,DinnerTable[],2,FALSE),0)) + (E140 * IFERROR(VLOOKUP(F140,DinnerTable[],2,FALSE),0)) + (E141 * IFERROR(VLOOKUP(F141,DinnerTable[],2,FALSE),0))</f>
        <v>35</v>
      </c>
      <c r="O137" s="61">
        <f>(E138 * IFERROR(VLOOKUP(F138,DinnerTable[],3,FALSE),0)) + (E139 * IFERROR(VLOOKUP(F139,DinnerTable[],3,FALSE),0)) + (E140 * IFERROR(VLOOKUP(F140,DinnerTable[],3,FALSE),0)) + (E141 * IFERROR(VLOOKUP(F141,DinnerTable[],3,FALSE),0))</f>
        <v>50</v>
      </c>
      <c r="P137" s="61">
        <f>(E138 * IFERROR(VLOOKUP(F138,DinnerTable[],4,FALSE),0)) + (E139 * IFERROR(VLOOKUP(F139,DinnerTable[],4,FALSE),0)) + (E140 * IFERROR(VLOOKUP(F140,DinnerTable[],4,FALSE),0)) + (E141 * IFERROR(VLOOKUP(F141,DinnerTable[],4,FALSE),0))</f>
        <v>60</v>
      </c>
    </row>
    <row r="138" spans="1:16" ht="15.75" thickTop="1" x14ac:dyDescent="0.25">
      <c r="A138" s="17">
        <v>1</v>
      </c>
      <c r="B138" s="17" t="s">
        <v>96</v>
      </c>
      <c r="C138" s="17">
        <v>3</v>
      </c>
      <c r="D138" s="17" t="s">
        <v>29</v>
      </c>
      <c r="E138" s="17">
        <v>0.5</v>
      </c>
      <c r="F138" s="17" t="s">
        <v>28</v>
      </c>
      <c r="G138" s="17"/>
      <c r="H138" s="17"/>
      <c r="I138" s="2"/>
      <c r="J138" s="2"/>
      <c r="K138" s="2"/>
      <c r="L138" s="57"/>
      <c r="M138" s="61" t="s">
        <v>35</v>
      </c>
      <c r="N138" s="61">
        <f>(G138 * IFERROR(VLOOKUP(H138,PostWorkoutTable[],2,FALSE),0)) + (G139 * IFERROR(VLOOKUP(H139,PostWorkoutTable[],2,FALSE),0)) + (G140 * IFERROR(VLOOKUP(H140,PostWorkoutTable[],2,FALSE),0)) + (G141 * IFERROR(VLOOKUP(H141,PostWorkoutTable[],2,FALSE),0))</f>
        <v>0</v>
      </c>
      <c r="O138" s="61">
        <f>(G138 * IFERROR(VLOOKUP(H138,PostWorkoutTable[],3,FALSE),0)) + (G139 * IFERROR(VLOOKUP(H139,PostWorkoutTable[],3,FALSE),0)) + (G140 * IFERROR(VLOOKUP(H140,PostWorkoutTable[],3,FALSE),0)) + (G141 * IFERROR(VLOOKUP(H141,PostWorkoutTable[],3,FALSE),0))</f>
        <v>0</v>
      </c>
      <c r="P138" s="61">
        <f>(G138 * IFERROR(VLOOKUP(H138,PostWorkoutTable[],4,FALSE),0)) + (G139 * IFERROR(VLOOKUP(H139,PostWorkoutTable[],4,FALSE),0)) + (G140 * IFERROR(VLOOKUP(H140,PostWorkoutTable[],4,FALSE),0)) + (G141 * IFERROR(VLOOKUP(H141,PostWorkoutTable[],4,FALSE),0))</f>
        <v>0</v>
      </c>
    </row>
    <row r="139" spans="1:16" x14ac:dyDescent="0.25">
      <c r="A139" s="17"/>
      <c r="B139" s="17"/>
      <c r="C139" s="17">
        <v>1</v>
      </c>
      <c r="D139" s="17" t="s">
        <v>49</v>
      </c>
      <c r="E139" s="17"/>
      <c r="F139" s="17"/>
      <c r="G139" s="17"/>
      <c r="H139" s="17"/>
      <c r="I139" s="2"/>
      <c r="J139" s="2"/>
      <c r="K139" s="2"/>
      <c r="L139" s="57"/>
      <c r="M139" s="61" t="s">
        <v>21</v>
      </c>
      <c r="N139" s="61">
        <f xml:space="preserve"> SUM(I138:I141)</f>
        <v>0</v>
      </c>
      <c r="O139" s="61">
        <f>SUM(J138:J141)</f>
        <v>0</v>
      </c>
      <c r="P139" s="61">
        <f>SUM(K138:K141)</f>
        <v>0</v>
      </c>
    </row>
    <row r="140" spans="1:16" x14ac:dyDescent="0.25">
      <c r="A140" s="17"/>
      <c r="B140" s="17"/>
      <c r="C140" s="17"/>
      <c r="D140" s="17"/>
      <c r="E140" s="17"/>
      <c r="F140" s="17"/>
      <c r="G140" s="17"/>
      <c r="H140" s="17"/>
      <c r="I140" s="2"/>
      <c r="J140" s="2"/>
      <c r="K140" s="2"/>
      <c r="L140" s="57"/>
      <c r="M140" s="61" t="s">
        <v>38</v>
      </c>
      <c r="N140" s="61">
        <f>SUM(N135:N139)</f>
        <v>92.2</v>
      </c>
      <c r="O140" s="61">
        <f>SUM(O135:O139)</f>
        <v>78.400000000000006</v>
      </c>
      <c r="P140" s="61">
        <f>SUM(P135:P139)</f>
        <v>114.4</v>
      </c>
    </row>
    <row r="141" spans="1:16" x14ac:dyDescent="0.25">
      <c r="A141" s="17"/>
      <c r="B141" s="17"/>
      <c r="C141" s="17"/>
      <c r="D141" s="17"/>
      <c r="E141" s="17"/>
      <c r="F141" s="17"/>
      <c r="G141" s="17"/>
      <c r="H141" s="17"/>
      <c r="I141" s="2"/>
      <c r="J141" s="2"/>
      <c r="K141" s="2"/>
      <c r="L141" s="57"/>
      <c r="M141" s="57"/>
      <c r="N141" s="57"/>
      <c r="O141" s="57"/>
      <c r="P141" s="57"/>
    </row>
    <row r="142" spans="1:16" x14ac:dyDescent="0.25">
      <c r="A142" s="57"/>
      <c r="B142" s="57"/>
      <c r="C142" s="57"/>
      <c r="D142" s="57"/>
      <c r="E142" s="57"/>
      <c r="F142" s="57"/>
      <c r="G142" s="57"/>
      <c r="H142" s="57"/>
      <c r="I142" s="57">
        <f>SUM(I138:I141)</f>
        <v>0</v>
      </c>
      <c r="J142" s="57">
        <f>SUM(J138:J141)</f>
        <v>0</v>
      </c>
      <c r="K142" s="57">
        <f>SUM(K138:K141)</f>
        <v>0</v>
      </c>
      <c r="L142" s="57"/>
      <c r="M142" s="57"/>
      <c r="N142" s="57"/>
      <c r="O142" s="57"/>
      <c r="P142" s="57"/>
    </row>
    <row r="143" spans="1:16" ht="23.25" x14ac:dyDescent="0.35">
      <c r="A143" s="63">
        <v>43612</v>
      </c>
      <c r="B143" s="57"/>
      <c r="C143" s="57"/>
      <c r="D143" s="57"/>
      <c r="E143" s="57"/>
      <c r="F143" s="57"/>
      <c r="G143" s="57"/>
      <c r="H143" s="57"/>
      <c r="I143" s="57"/>
      <c r="J143" s="57"/>
      <c r="K143" s="57"/>
      <c r="L143" s="57"/>
      <c r="M143" s="57"/>
      <c r="N143" s="57"/>
      <c r="O143" s="57"/>
      <c r="P143" s="57"/>
    </row>
    <row r="144" spans="1:16" ht="18" thickBot="1" x14ac:dyDescent="0.35">
      <c r="A144" s="3" t="s">
        <v>48</v>
      </c>
      <c r="B144" s="3" t="s">
        <v>0</v>
      </c>
      <c r="C144" s="3" t="s">
        <v>36</v>
      </c>
      <c r="D144" s="3" t="s">
        <v>8</v>
      </c>
      <c r="E144" s="5" t="s">
        <v>9</v>
      </c>
      <c r="F144" s="5" t="s">
        <v>10</v>
      </c>
      <c r="G144" s="59"/>
      <c r="H144" s="60"/>
      <c r="I144" s="57"/>
      <c r="J144" s="57"/>
      <c r="K144" s="57"/>
      <c r="L144" s="57"/>
      <c r="M144" s="59"/>
      <c r="N144" s="61" t="s">
        <v>8</v>
      </c>
      <c r="O144" s="61" t="s">
        <v>9</v>
      </c>
      <c r="P144" s="61" t="s">
        <v>10</v>
      </c>
    </row>
    <row r="145" spans="1:16" ht="15.75" thickTop="1" x14ac:dyDescent="0.25">
      <c r="A145" s="18">
        <v>43612</v>
      </c>
      <c r="B145" s="16">
        <f>IFERROR(VLOOKUP(A145,OverviewTable[],2,FALSE),"?")</f>
        <v>133.19999999999999</v>
      </c>
      <c r="C145" s="16" t="str">
        <f>((N150 * 4) + (O150 * 9) + (P150 * 4))&amp;"/"&amp;IFERROR(VLOOKUP(A145,OverviewTable[],11,FALSE),"?")</f>
        <v>2097/2381.2</v>
      </c>
      <c r="D145" s="16" t="str">
        <f>N150&amp;"/"&amp;IFERROR(VLOOKUP(A145,OverviewTable[],12,FALSE),"?")</f>
        <v>139.7/133</v>
      </c>
      <c r="E145" s="16" t="str">
        <f>O150&amp;"/"&amp;IFERROR(VLOOKUP(A145,OverviewTable[],13,FALSE),"?")</f>
        <v>77.4/66</v>
      </c>
      <c r="F145" s="16" t="str">
        <f>P150&amp;"/"&amp;IFERROR(VLOOKUP(A145,OverviewTable[],14,FALSE),"?")</f>
        <v>210.4/314</v>
      </c>
      <c r="G145" s="60"/>
      <c r="H145" s="60"/>
      <c r="I145" s="57"/>
      <c r="J145" s="57"/>
      <c r="K145" s="57"/>
      <c r="L145" s="57"/>
      <c r="M145" s="61" t="s">
        <v>6</v>
      </c>
      <c r="N145" s="61">
        <f>(A148 * IFERROR(VLOOKUP(B148,BreakfastTable[],2,FALSE),0)) + (A149 * IFERROR(VLOOKUP(B149,BreakfastTable[],2,FALSE),0)) + (A150 * IFERROR(VLOOKUP(B150,BreakfastTable[],2,FALSE),0)) + (A151 * IFERROR(VLOOKUP(B151,BreakfastTable[],2,FALSE),0))</f>
        <v>20</v>
      </c>
      <c r="O145" s="61">
        <f>(A148 * IFERROR(VLOOKUP(B148,BreakfastTable[],3,FALSE),0)) + (A149 * IFERROR(VLOOKUP(B149,BreakfastTable[],3,FALSE),0)) + (A150 * IFERROR(VLOOKUP(B150,BreakfastTable[],3,FALSE),0)) + (A151 * IFERROR(VLOOKUP(B151,BreakfastTable[],3,FALSE),0))</f>
        <v>10</v>
      </c>
      <c r="P145" s="61">
        <f>(A148 * IFERROR(VLOOKUP(B148,BreakfastTable[],4,FALSE),0)) + (A149 * IFERROR(VLOOKUP(B149,BreakfastTable[],4,FALSE),0)) + (A150 * IFERROR(VLOOKUP(B150,BreakfastTable[],4,FALSE),0)) + (A151 * IFERROR(VLOOKUP(B151,BreakfastTable[],4,FALSE),0))</f>
        <v>21</v>
      </c>
    </row>
    <row r="146" spans="1:16" x14ac:dyDescent="0.25">
      <c r="A146" s="17"/>
      <c r="B146" s="17"/>
      <c r="C146" s="17"/>
      <c r="D146" s="17"/>
      <c r="E146" s="17"/>
      <c r="F146" s="17"/>
      <c r="G146" s="60"/>
      <c r="H146" s="60"/>
      <c r="I146" s="57"/>
      <c r="J146" s="57"/>
      <c r="K146" s="57"/>
      <c r="L146" s="57"/>
      <c r="M146" s="61" t="s">
        <v>11</v>
      </c>
      <c r="N146" s="61">
        <f>(C148 * IFERROR(VLOOKUP(D148,LunchTable[],2,FALSE),0)) + (C149 * IFERROR(VLOOKUP(D149,LunchTable[],2,FALSE),0)) + (C150 * IFERROR(VLOOKUP(D150,LunchTable[],2,FALSE),0)) + (C151 * IFERROR(VLOOKUP(D151,LunchTable[],2,FALSE),0))</f>
        <v>53</v>
      </c>
      <c r="O146" s="61">
        <f>(C148 * IFERROR(VLOOKUP(D148,LunchTable[],3,FALSE),0)) + (C149 * IFERROR(VLOOKUP(D149,LunchTable[],3,FALSE),0)) + (C150 * IFERROR(VLOOKUP(D150,LunchTable[],3,FALSE),0)) + (C151 * IFERROR(VLOOKUP(D151,LunchTable[],3,FALSE),0))</f>
        <v>13</v>
      </c>
      <c r="P146" s="61">
        <f>(C148 * IFERROR(VLOOKUP(D148,LunchTable[],4,FALSE),0)) + (C149 * IFERROR(VLOOKUP(D149,LunchTable[],4,FALSE),0)) + (C150 * IFERROR(VLOOKUP(D150,LunchTable[],4,FALSE),0)) + (C151 * IFERROR(VLOOKUP(D151,LunchTable[],4,FALSE),0))</f>
        <v>61</v>
      </c>
    </row>
    <row r="147" spans="1:16" ht="18" thickBot="1" x14ac:dyDescent="0.35">
      <c r="A147" s="10" t="s">
        <v>34</v>
      </c>
      <c r="B147" s="11" t="s">
        <v>6</v>
      </c>
      <c r="C147" s="10" t="s">
        <v>34</v>
      </c>
      <c r="D147" s="11" t="s">
        <v>11</v>
      </c>
      <c r="E147" s="10" t="s">
        <v>34</v>
      </c>
      <c r="F147" s="11" t="s">
        <v>12</v>
      </c>
      <c r="G147" s="10" t="s">
        <v>34</v>
      </c>
      <c r="H147" s="12" t="s">
        <v>35</v>
      </c>
      <c r="I147" s="5" t="s">
        <v>41</v>
      </c>
      <c r="J147" s="5" t="s">
        <v>42</v>
      </c>
      <c r="K147" s="5" t="s">
        <v>43</v>
      </c>
      <c r="L147" s="57"/>
      <c r="M147" s="61" t="s">
        <v>12</v>
      </c>
      <c r="N147" s="61">
        <f>(E148 * IFERROR(VLOOKUP(F148,DinnerTable[],2,FALSE),0)) + (E149 * IFERROR(VLOOKUP(F149,DinnerTable[],2,FALSE),0)) + (E150 * IFERROR(VLOOKUP(F150,DinnerTable[],2,FALSE),0)) + (E151 * IFERROR(VLOOKUP(F151,DinnerTable[],2,FALSE),0))</f>
        <v>30.5</v>
      </c>
      <c r="O147" s="61">
        <f>(E148 * IFERROR(VLOOKUP(F148,DinnerTable[],3,FALSE),0)) + (E149 * IFERROR(VLOOKUP(F149,DinnerTable[],3,FALSE),0)) + (E150 * IFERROR(VLOOKUP(F150,DinnerTable[],3,FALSE),0)) + (E151 * IFERROR(VLOOKUP(F151,DinnerTable[],3,FALSE),0))</f>
        <v>21.5</v>
      </c>
      <c r="P147" s="61">
        <f>(E148 * IFERROR(VLOOKUP(F148,DinnerTable[],4,FALSE),0)) + (E149 * IFERROR(VLOOKUP(F149,DinnerTable[],4,FALSE),0)) + (E150 * IFERROR(VLOOKUP(F150,DinnerTable[],4,FALSE),0)) + (E151 * IFERROR(VLOOKUP(F151,DinnerTable[],4,FALSE),0))</f>
        <v>28</v>
      </c>
    </row>
    <row r="148" spans="1:16" ht="15.75" thickTop="1" x14ac:dyDescent="0.25">
      <c r="A148" s="17">
        <v>1</v>
      </c>
      <c r="B148" s="17" t="s">
        <v>105</v>
      </c>
      <c r="C148" s="17">
        <v>1</v>
      </c>
      <c r="D148" s="17" t="s">
        <v>23</v>
      </c>
      <c r="E148" s="17">
        <v>1</v>
      </c>
      <c r="F148" s="17" t="s">
        <v>66</v>
      </c>
      <c r="G148" s="17">
        <v>1</v>
      </c>
      <c r="H148" s="17" t="s">
        <v>96</v>
      </c>
      <c r="I148" s="2">
        <v>4</v>
      </c>
      <c r="J148" s="2">
        <v>18</v>
      </c>
      <c r="K148" s="2">
        <v>50</v>
      </c>
      <c r="L148" s="57"/>
      <c r="M148" s="61" t="s">
        <v>35</v>
      </c>
      <c r="N148" s="61">
        <f>(G148 * IFERROR(VLOOKUP(H148,PostWorkoutTable[],2,FALSE),0)) + (G149 * IFERROR(VLOOKUP(H149,PostWorkoutTable[],2,FALSE),0)) + (G150 * IFERROR(VLOOKUP(H150,PostWorkoutTable[],2,FALSE),0)) + (G151 * IFERROR(VLOOKUP(H151,PostWorkoutTable[],2,FALSE),0))</f>
        <v>32.200000000000003</v>
      </c>
      <c r="O148" s="61">
        <f>(G148 * IFERROR(VLOOKUP(H148,PostWorkoutTable[],3,FALSE),0)) + (G149 * IFERROR(VLOOKUP(H149,PostWorkoutTable[],3,FALSE),0)) + (G150 * IFERROR(VLOOKUP(H150,PostWorkoutTable[],3,FALSE),0)) + (G151 * IFERROR(VLOOKUP(H151,PostWorkoutTable[],3,FALSE),0))</f>
        <v>14.9</v>
      </c>
      <c r="P148" s="61">
        <f>(G148 * IFERROR(VLOOKUP(H148,PostWorkoutTable[],4,FALSE),0)) + (G149 * IFERROR(VLOOKUP(H149,PostWorkoutTable[],4,FALSE),0)) + (G150 * IFERROR(VLOOKUP(H150,PostWorkoutTable[],4,FALSE),0)) + (G151 * IFERROR(VLOOKUP(H151,PostWorkoutTable[],4,FALSE),0))</f>
        <v>50.4</v>
      </c>
    </row>
    <row r="149" spans="1:16" x14ac:dyDescent="0.25">
      <c r="A149" s="17"/>
      <c r="B149" s="17"/>
      <c r="C149" s="17">
        <v>1</v>
      </c>
      <c r="D149" s="17" t="s">
        <v>90</v>
      </c>
      <c r="E149" s="17">
        <v>1</v>
      </c>
      <c r="F149" s="17" t="s">
        <v>65</v>
      </c>
      <c r="G149" s="17"/>
      <c r="H149" s="17"/>
      <c r="I149" s="2"/>
      <c r="J149" s="2"/>
      <c r="K149" s="2"/>
      <c r="L149" s="57"/>
      <c r="M149" s="61" t="s">
        <v>21</v>
      </c>
      <c r="N149" s="61">
        <f xml:space="preserve"> SUM(I148:I151)</f>
        <v>4</v>
      </c>
      <c r="O149" s="61">
        <f>SUM(J148:J151)</f>
        <v>18</v>
      </c>
      <c r="P149" s="61">
        <f>SUM(K148:K151)</f>
        <v>50</v>
      </c>
    </row>
    <row r="150" spans="1:16" x14ac:dyDescent="0.25">
      <c r="A150" s="17"/>
      <c r="B150" s="17"/>
      <c r="C150" s="17">
        <v>0.5</v>
      </c>
      <c r="D150" s="17" t="s">
        <v>52</v>
      </c>
      <c r="E150" s="17">
        <v>0.5</v>
      </c>
      <c r="F150" s="17" t="s">
        <v>50</v>
      </c>
      <c r="G150" s="17"/>
      <c r="H150" s="17"/>
      <c r="I150" s="2"/>
      <c r="J150" s="2"/>
      <c r="K150" s="2"/>
      <c r="L150" s="57"/>
      <c r="M150" s="61" t="s">
        <v>38</v>
      </c>
      <c r="N150" s="61">
        <f>SUM(N145:N149)</f>
        <v>139.69999999999999</v>
      </c>
      <c r="O150" s="61">
        <f>SUM(O145:O149)</f>
        <v>77.400000000000006</v>
      </c>
      <c r="P150" s="61">
        <f>SUM(P145:P149)</f>
        <v>210.4</v>
      </c>
    </row>
    <row r="151" spans="1:16" x14ac:dyDescent="0.25">
      <c r="A151" s="17"/>
      <c r="B151" s="17"/>
      <c r="C151" s="17"/>
      <c r="D151" s="17"/>
      <c r="E151" s="17"/>
      <c r="F151" s="17"/>
      <c r="G151" s="17"/>
      <c r="H151" s="17"/>
      <c r="I151" s="2"/>
      <c r="J151" s="2"/>
      <c r="K151" s="2"/>
      <c r="L151" s="57"/>
      <c r="M151" s="57"/>
      <c r="N151" s="57"/>
      <c r="O151" s="57"/>
      <c r="P151" s="57"/>
    </row>
    <row r="152" spans="1:16" x14ac:dyDescent="0.25">
      <c r="A152" s="57"/>
      <c r="B152" s="57"/>
      <c r="C152" s="57"/>
      <c r="D152" s="57"/>
      <c r="E152" s="57"/>
      <c r="F152" s="57"/>
      <c r="G152" s="57"/>
      <c r="H152" s="57"/>
      <c r="I152" s="57">
        <f>SUM(I148:I151)</f>
        <v>4</v>
      </c>
      <c r="J152" s="57">
        <f>SUM(J148:J151)</f>
        <v>18</v>
      </c>
      <c r="K152" s="57">
        <f>SUM(K148:K151)</f>
        <v>50</v>
      </c>
      <c r="L152" s="57"/>
      <c r="M152" s="57"/>
      <c r="N152" s="57"/>
      <c r="O152" s="57"/>
      <c r="P152" s="57"/>
    </row>
    <row r="153" spans="1:16" ht="23.25" x14ac:dyDescent="0.35">
      <c r="A153" s="63">
        <v>43613</v>
      </c>
      <c r="B153" s="57"/>
      <c r="C153" s="57"/>
      <c r="D153" s="57"/>
      <c r="E153" s="57"/>
      <c r="F153" s="57"/>
      <c r="G153" s="57"/>
      <c r="H153" s="57"/>
      <c r="I153" s="57"/>
      <c r="J153" s="57"/>
      <c r="K153" s="57"/>
      <c r="L153" s="57"/>
      <c r="M153" s="57"/>
      <c r="N153" s="57"/>
      <c r="O153" s="57"/>
      <c r="P153" s="57"/>
    </row>
    <row r="154" spans="1:16" ht="18" thickBot="1" x14ac:dyDescent="0.35">
      <c r="A154" s="3" t="s">
        <v>48</v>
      </c>
      <c r="B154" s="3" t="s">
        <v>0</v>
      </c>
      <c r="C154" s="3" t="s">
        <v>36</v>
      </c>
      <c r="D154" s="3" t="s">
        <v>8</v>
      </c>
      <c r="E154" s="5" t="s">
        <v>9</v>
      </c>
      <c r="F154" s="5" t="s">
        <v>10</v>
      </c>
      <c r="G154" s="59"/>
      <c r="H154" s="60"/>
      <c r="I154" s="57"/>
      <c r="J154" s="57"/>
      <c r="K154" s="57"/>
      <c r="L154" s="57"/>
      <c r="M154" s="59"/>
      <c r="N154" s="61" t="s">
        <v>8</v>
      </c>
      <c r="O154" s="61" t="s">
        <v>9</v>
      </c>
      <c r="P154" s="61" t="s">
        <v>10</v>
      </c>
    </row>
    <row r="155" spans="1:16" ht="15.75" thickTop="1" x14ac:dyDescent="0.25">
      <c r="A155" s="18">
        <v>43612</v>
      </c>
      <c r="B155" s="16">
        <f>IFERROR(VLOOKUP(A155,OverviewTable[],2,FALSE),"?")</f>
        <v>133.19999999999999</v>
      </c>
      <c r="C155" s="16" t="str">
        <f>((N160 * 4) + (O160 * 9) + (P160 * 4))&amp;"/"&amp;IFERROR(VLOOKUP(A155,OverviewTable[],11,FALSE),"?")</f>
        <v>1877.2/2381.2</v>
      </c>
      <c r="D155" s="16" t="str">
        <f>N160&amp;"/"&amp;IFERROR(VLOOKUP(A155,OverviewTable[],12,FALSE),"?")</f>
        <v>98.7/133</v>
      </c>
      <c r="E155" s="16" t="str">
        <f>O160&amp;"/"&amp;IFERROR(VLOOKUP(A155,OverviewTable[],13,FALSE),"?")</f>
        <v>60/66</v>
      </c>
      <c r="F155" s="16" t="str">
        <f>P160&amp;"/"&amp;IFERROR(VLOOKUP(A155,OverviewTable[],14,FALSE),"?")</f>
        <v>235.6/314</v>
      </c>
      <c r="G155" s="60"/>
      <c r="H155" s="60"/>
      <c r="I155" s="57"/>
      <c r="J155" s="57"/>
      <c r="K155" s="57"/>
      <c r="L155" s="57"/>
      <c r="M155" s="61" t="s">
        <v>6</v>
      </c>
      <c r="N155" s="61">
        <f>(A158 * IFERROR(VLOOKUP(B158,BreakfastTable[],2,FALSE),0)) + (A159 * IFERROR(VLOOKUP(B159,BreakfastTable[],2,FALSE),0)) + (A160 * IFERROR(VLOOKUP(B160,BreakfastTable[],2,FALSE),0)) + (A161 * IFERROR(VLOOKUP(B161,BreakfastTable[],2,FALSE),0))</f>
        <v>12.2</v>
      </c>
      <c r="O155" s="61">
        <f>(A158 * IFERROR(VLOOKUP(B158,BreakfastTable[],3,FALSE),0)) + (A159 * IFERROR(VLOOKUP(B159,BreakfastTable[],3,FALSE),0)) + (A160 * IFERROR(VLOOKUP(B160,BreakfastTable[],3,FALSE),0)) + (A161 * IFERROR(VLOOKUP(B161,BreakfastTable[],3,FALSE),0))</f>
        <v>2.5</v>
      </c>
      <c r="P155" s="61">
        <f>(A158 * IFERROR(VLOOKUP(B158,BreakfastTable[],4,FALSE),0)) + (A159 * IFERROR(VLOOKUP(B159,BreakfastTable[],4,FALSE),0)) + (A160 * IFERROR(VLOOKUP(B160,BreakfastTable[],4,FALSE),0)) + (A161 * IFERROR(VLOOKUP(B161,BreakfastTable[],4,FALSE),0))</f>
        <v>123.6</v>
      </c>
    </row>
    <row r="156" spans="1:16" x14ac:dyDescent="0.25">
      <c r="A156" s="17"/>
      <c r="B156" s="17"/>
      <c r="C156" s="17"/>
      <c r="D156" s="17"/>
      <c r="E156" s="17"/>
      <c r="F156" s="17"/>
      <c r="G156" s="60"/>
      <c r="H156" s="60"/>
      <c r="I156" s="57"/>
      <c r="J156" s="57"/>
      <c r="K156" s="57"/>
      <c r="L156" s="57"/>
      <c r="M156" s="61" t="s">
        <v>11</v>
      </c>
      <c r="N156" s="61">
        <f>(C158 * IFERROR(VLOOKUP(D158,LunchTable[],2,FALSE),0)) + (C159 * IFERROR(VLOOKUP(D159,LunchTable[],2,FALSE),0)) + (C160 * IFERROR(VLOOKUP(D160,LunchTable[],2,FALSE),0)) + (C161 * IFERROR(VLOOKUP(D161,LunchTable[],2,FALSE),0))</f>
        <v>56</v>
      </c>
      <c r="O156" s="61">
        <f>(C158 * IFERROR(VLOOKUP(D158,LunchTable[],3,FALSE),0)) + (C159 * IFERROR(VLOOKUP(D159,LunchTable[],3,FALSE),0)) + (C160 * IFERROR(VLOOKUP(D160,LunchTable[],3,FALSE),0)) + (C161 * IFERROR(VLOOKUP(D161,LunchTable[],3,FALSE),0))</f>
        <v>36</v>
      </c>
      <c r="P156" s="61">
        <f>(C158 * IFERROR(VLOOKUP(D158,LunchTable[],4,FALSE),0)) + (C159 * IFERROR(VLOOKUP(D159,LunchTable[],4,FALSE),0)) + (C160 * IFERROR(VLOOKUP(D160,LunchTable[],4,FALSE),0)) + (C161 * IFERROR(VLOOKUP(D161,LunchTable[],4,FALSE),0))</f>
        <v>84</v>
      </c>
    </row>
    <row r="157" spans="1:16" ht="18" thickBot="1" x14ac:dyDescent="0.35">
      <c r="A157" s="10" t="s">
        <v>34</v>
      </c>
      <c r="B157" s="11" t="s">
        <v>6</v>
      </c>
      <c r="C157" s="10" t="s">
        <v>34</v>
      </c>
      <c r="D157" s="11" t="s">
        <v>11</v>
      </c>
      <c r="E157" s="10" t="s">
        <v>34</v>
      </c>
      <c r="F157" s="11" t="s">
        <v>12</v>
      </c>
      <c r="G157" s="10" t="s">
        <v>34</v>
      </c>
      <c r="H157" s="12" t="s">
        <v>35</v>
      </c>
      <c r="I157" s="5" t="s">
        <v>41</v>
      </c>
      <c r="J157" s="5" t="s">
        <v>42</v>
      </c>
      <c r="K157" s="5" t="s">
        <v>43</v>
      </c>
      <c r="L157" s="57"/>
      <c r="M157" s="61" t="s">
        <v>12</v>
      </c>
      <c r="N157" s="61">
        <f>(E158 * IFERROR(VLOOKUP(F158,DinnerTable[],2,FALSE),0)) + (E159 * IFERROR(VLOOKUP(F159,DinnerTable[],2,FALSE),0)) + (E160 * IFERROR(VLOOKUP(F160,DinnerTable[],2,FALSE),0)) + (E161 * IFERROR(VLOOKUP(F161,DinnerTable[],2,FALSE),0))</f>
        <v>30.5</v>
      </c>
      <c r="O157" s="61">
        <f>(E158 * IFERROR(VLOOKUP(F158,DinnerTable[],3,FALSE),0)) + (E159 * IFERROR(VLOOKUP(F159,DinnerTable[],3,FALSE),0)) + (E160 * IFERROR(VLOOKUP(F160,DinnerTable[],3,FALSE),0)) + (E161 * IFERROR(VLOOKUP(F161,DinnerTable[],3,FALSE),0))</f>
        <v>21.5</v>
      </c>
      <c r="P157" s="61">
        <f>(E158 * IFERROR(VLOOKUP(F158,DinnerTable[],4,FALSE),0)) + (E159 * IFERROR(VLOOKUP(F159,DinnerTable[],4,FALSE),0)) + (E160 * IFERROR(VLOOKUP(F160,DinnerTable[],4,FALSE),0)) + (E161 * IFERROR(VLOOKUP(F161,DinnerTable[],4,FALSE),0))</f>
        <v>28</v>
      </c>
    </row>
    <row r="158" spans="1:16" ht="15.75" thickTop="1" x14ac:dyDescent="0.25">
      <c r="A158" s="17">
        <v>2</v>
      </c>
      <c r="B158" s="17" t="s">
        <v>27</v>
      </c>
      <c r="C158" s="17">
        <v>0.5</v>
      </c>
      <c r="D158" s="17" t="s">
        <v>45</v>
      </c>
      <c r="E158" s="17">
        <v>1</v>
      </c>
      <c r="F158" s="17" t="s">
        <v>66</v>
      </c>
      <c r="G158" s="17"/>
      <c r="H158" s="17"/>
      <c r="I158" s="2"/>
      <c r="J158" s="2"/>
      <c r="K158" s="2"/>
      <c r="L158" s="57"/>
      <c r="M158" s="61" t="s">
        <v>35</v>
      </c>
      <c r="N158" s="61">
        <f>(G158 * IFERROR(VLOOKUP(H158,PostWorkoutTable[],2,FALSE),0)) + (G159 * IFERROR(VLOOKUP(H159,PostWorkoutTable[],2,FALSE),0)) + (G160 * IFERROR(VLOOKUP(H160,PostWorkoutTable[],2,FALSE),0)) + (G161 * IFERROR(VLOOKUP(H161,PostWorkoutTable[],2,FALSE),0))</f>
        <v>0</v>
      </c>
      <c r="O158" s="61">
        <f>(G158 * IFERROR(VLOOKUP(H158,PostWorkoutTable[],3,FALSE),0)) + (G159 * IFERROR(VLOOKUP(H159,PostWorkoutTable[],3,FALSE),0)) + (G160 * IFERROR(VLOOKUP(H160,PostWorkoutTable[],3,FALSE),0)) + (G161 * IFERROR(VLOOKUP(H161,PostWorkoutTable[],3,FALSE),0))</f>
        <v>0</v>
      </c>
      <c r="P158" s="61">
        <f>(G158 * IFERROR(VLOOKUP(H158,PostWorkoutTable[],4,FALSE),0)) + (G159 * IFERROR(VLOOKUP(H159,PostWorkoutTable[],4,FALSE),0)) + (G160 * IFERROR(VLOOKUP(H160,PostWorkoutTable[],4,FALSE),0)) + (G161 * IFERROR(VLOOKUP(H161,PostWorkoutTable[],4,FALSE),0))</f>
        <v>0</v>
      </c>
    </row>
    <row r="159" spans="1:16" x14ac:dyDescent="0.25">
      <c r="A159" s="17">
        <v>1</v>
      </c>
      <c r="B159" s="17" t="s">
        <v>107</v>
      </c>
      <c r="C159" s="17">
        <v>1</v>
      </c>
      <c r="D159" s="17" t="s">
        <v>56</v>
      </c>
      <c r="E159" s="17">
        <v>1</v>
      </c>
      <c r="F159" s="17" t="s">
        <v>65</v>
      </c>
      <c r="G159" s="17"/>
      <c r="H159" s="17"/>
      <c r="I159" s="2"/>
      <c r="J159" s="2"/>
      <c r="K159" s="2"/>
      <c r="L159" s="57"/>
      <c r="M159" s="61" t="s">
        <v>21</v>
      </c>
      <c r="N159" s="61">
        <f xml:space="preserve"> SUM(I158:I161)</f>
        <v>0</v>
      </c>
      <c r="O159" s="61">
        <f>SUM(J158:J161)</f>
        <v>0</v>
      </c>
      <c r="P159" s="61">
        <f>SUM(K158:K161)</f>
        <v>0</v>
      </c>
    </row>
    <row r="160" spans="1:16" x14ac:dyDescent="0.25">
      <c r="A160" s="17"/>
      <c r="B160" s="17"/>
      <c r="C160" s="17">
        <v>0.25</v>
      </c>
      <c r="D160" s="17" t="s">
        <v>44</v>
      </c>
      <c r="E160" s="17">
        <v>0.5</v>
      </c>
      <c r="F160" s="17" t="s">
        <v>50</v>
      </c>
      <c r="G160" s="17"/>
      <c r="H160" s="17"/>
      <c r="I160" s="2"/>
      <c r="J160" s="2"/>
      <c r="K160" s="2"/>
      <c r="L160" s="57"/>
      <c r="M160" s="61" t="s">
        <v>38</v>
      </c>
      <c r="N160" s="61">
        <f>SUM(N155:N159)</f>
        <v>98.7</v>
      </c>
      <c r="O160" s="61">
        <f>SUM(O155:O159)</f>
        <v>60</v>
      </c>
      <c r="P160" s="61">
        <f>SUM(P155:P159)</f>
        <v>235.6</v>
      </c>
    </row>
    <row r="161" spans="1:16" x14ac:dyDescent="0.25">
      <c r="A161" s="17"/>
      <c r="B161" s="17"/>
      <c r="C161" s="17">
        <v>3</v>
      </c>
      <c r="D161" s="17" t="s">
        <v>68</v>
      </c>
      <c r="E161" s="17"/>
      <c r="F161" s="17"/>
      <c r="G161" s="17"/>
      <c r="H161" s="17"/>
      <c r="I161" s="2"/>
      <c r="J161" s="2"/>
      <c r="K161" s="2"/>
      <c r="L161" s="57"/>
      <c r="M161" s="57"/>
      <c r="N161" s="57"/>
      <c r="O161" s="57"/>
      <c r="P161" s="57"/>
    </row>
    <row r="162" spans="1:16" x14ac:dyDescent="0.25">
      <c r="A162" s="57"/>
      <c r="B162" s="57"/>
      <c r="C162" s="57"/>
      <c r="D162" s="57"/>
      <c r="E162" s="57"/>
      <c r="F162" s="57"/>
      <c r="G162" s="57"/>
      <c r="H162" s="57"/>
      <c r="I162" s="57">
        <f>SUM(I158:I161)</f>
        <v>0</v>
      </c>
      <c r="J162" s="57">
        <f>SUM(J158:J161)</f>
        <v>0</v>
      </c>
      <c r="K162" s="57">
        <f>SUM(K158:K161)</f>
        <v>0</v>
      </c>
      <c r="L162" s="57"/>
      <c r="M162" s="57"/>
      <c r="N162" s="57"/>
      <c r="O162" s="57"/>
      <c r="P162" s="57"/>
    </row>
    <row r="163" spans="1:16" ht="23.25" x14ac:dyDescent="0.35">
      <c r="A163" s="63">
        <v>43614</v>
      </c>
      <c r="B163" s="57"/>
      <c r="C163" s="57"/>
      <c r="D163" s="57"/>
      <c r="E163" s="57"/>
      <c r="F163" s="57"/>
      <c r="G163" s="57"/>
      <c r="H163" s="57"/>
      <c r="I163" s="57"/>
      <c r="J163" s="57"/>
      <c r="K163" s="57"/>
      <c r="L163" s="57"/>
      <c r="M163" s="57"/>
      <c r="N163" s="57"/>
      <c r="O163" s="57"/>
      <c r="P163" s="57"/>
    </row>
    <row r="164" spans="1:16" ht="18" thickBot="1" x14ac:dyDescent="0.35">
      <c r="A164" s="3" t="s">
        <v>48</v>
      </c>
      <c r="B164" s="3" t="s">
        <v>0</v>
      </c>
      <c r="C164" s="3" t="s">
        <v>36</v>
      </c>
      <c r="D164" s="3" t="s">
        <v>8</v>
      </c>
      <c r="E164" s="5" t="s">
        <v>9</v>
      </c>
      <c r="F164" s="5" t="s">
        <v>10</v>
      </c>
      <c r="G164" s="59"/>
      <c r="H164" s="60"/>
      <c r="I164" s="57"/>
      <c r="J164" s="57"/>
      <c r="K164" s="57"/>
      <c r="L164" s="57"/>
      <c r="M164" s="59"/>
      <c r="N164" s="61" t="s">
        <v>8</v>
      </c>
      <c r="O164" s="61" t="s">
        <v>9</v>
      </c>
      <c r="P164" s="61" t="s">
        <v>10</v>
      </c>
    </row>
    <row r="165" spans="1:16" ht="15.75" thickTop="1" x14ac:dyDescent="0.25">
      <c r="A165" s="18">
        <v>43612</v>
      </c>
      <c r="B165" s="16">
        <f>IFERROR(VLOOKUP(A165,OverviewTable[],2,FALSE),"?")</f>
        <v>133.19999999999999</v>
      </c>
      <c r="C165" s="16" t="str">
        <f>((N170 * 4) + (O170 * 9) + (P170 * 4))&amp;"/"&amp;IFERROR(VLOOKUP(A165,OverviewTable[],11,FALSE),"?")</f>
        <v>1921.4/2381.2</v>
      </c>
      <c r="D165" s="16" t="str">
        <f>N170&amp;"/"&amp;IFERROR(VLOOKUP(A165,OverviewTable[],12,FALSE),"?")</f>
        <v>109.7/133</v>
      </c>
      <c r="E165" s="16" t="str">
        <f>O170&amp;"/"&amp;IFERROR(VLOOKUP(A165,OverviewTable[],13,FALSE),"?")</f>
        <v>59.8/66</v>
      </c>
      <c r="F165" s="16" t="str">
        <f>P170&amp;"/"&amp;IFERROR(VLOOKUP(A165,OverviewTable[],14,FALSE),"?")</f>
        <v>236.1/314</v>
      </c>
      <c r="G165" s="60"/>
      <c r="H165" s="60"/>
      <c r="I165" s="57"/>
      <c r="J165" s="57"/>
      <c r="K165" s="57"/>
      <c r="L165" s="57"/>
      <c r="M165" s="61" t="s">
        <v>6</v>
      </c>
      <c r="N165" s="61">
        <f>(A168 * IFERROR(VLOOKUP(B168,BreakfastTable[],2,FALSE),0)) + (A169 * IFERROR(VLOOKUP(B169,BreakfastTable[],2,FALSE),0)) + (A170 * IFERROR(VLOOKUP(B170,BreakfastTable[],2,FALSE),0)) + (A171 * IFERROR(VLOOKUP(B171,BreakfastTable[],2,FALSE),0))</f>
        <v>30.6</v>
      </c>
      <c r="O165" s="61">
        <f>(A168 * IFERROR(VLOOKUP(B168,BreakfastTable[],3,FALSE),0)) + (A169 * IFERROR(VLOOKUP(B169,BreakfastTable[],3,FALSE),0)) + (A170 * IFERROR(VLOOKUP(B170,BreakfastTable[],3,FALSE),0)) + (A171 * IFERROR(VLOOKUP(B171,BreakfastTable[],3,FALSE),0))</f>
        <v>10</v>
      </c>
      <c r="P165" s="61">
        <f>(A168 * IFERROR(VLOOKUP(B168,BreakfastTable[],4,FALSE),0)) + (A169 * IFERROR(VLOOKUP(B169,BreakfastTable[],4,FALSE),0)) + (A170 * IFERROR(VLOOKUP(B170,BreakfastTable[],4,FALSE),0)) + (A171 * IFERROR(VLOOKUP(B171,BreakfastTable[],4,FALSE),0))</f>
        <v>119.3</v>
      </c>
    </row>
    <row r="166" spans="1:16" x14ac:dyDescent="0.25">
      <c r="A166" s="17"/>
      <c r="B166" s="17"/>
      <c r="C166" s="17"/>
      <c r="D166" s="17"/>
      <c r="E166" s="17"/>
      <c r="F166" s="17"/>
      <c r="G166" s="60"/>
      <c r="H166" s="60"/>
      <c r="I166" s="57"/>
      <c r="J166" s="57"/>
      <c r="K166" s="57"/>
      <c r="L166" s="57"/>
      <c r="M166" s="61" t="s">
        <v>11</v>
      </c>
      <c r="N166" s="61">
        <f>(C168 * IFERROR(VLOOKUP(D168,LunchTable[],2,FALSE),0)) + (C169 * IFERROR(VLOOKUP(D169,LunchTable[],2,FALSE),0)) + (C170 * IFERROR(VLOOKUP(D170,LunchTable[],2,FALSE),0)) + (C171 * IFERROR(VLOOKUP(D171,LunchTable[],2,FALSE),0))</f>
        <v>51.5</v>
      </c>
      <c r="O166" s="61">
        <f>(C168 * IFERROR(VLOOKUP(D168,LunchTable[],3,FALSE),0)) + (C169 * IFERROR(VLOOKUP(D169,LunchTable[],3,FALSE),0)) + (C170 * IFERROR(VLOOKUP(D170,LunchTable[],3,FALSE),0)) + (C171 * IFERROR(VLOOKUP(D171,LunchTable[],3,FALSE),0))</f>
        <v>43</v>
      </c>
      <c r="P166" s="61">
        <f>(C168 * IFERROR(VLOOKUP(D168,LunchTable[],4,FALSE),0)) + (C169 * IFERROR(VLOOKUP(D169,LunchTable[],4,FALSE),0)) + (C170 * IFERROR(VLOOKUP(D170,LunchTable[],4,FALSE),0)) + (C171 * IFERROR(VLOOKUP(D171,LunchTable[],4,FALSE),0))</f>
        <v>108</v>
      </c>
    </row>
    <row r="167" spans="1:16" ht="18" thickBot="1" x14ac:dyDescent="0.35">
      <c r="A167" s="10" t="s">
        <v>34</v>
      </c>
      <c r="B167" s="11" t="s">
        <v>6</v>
      </c>
      <c r="C167" s="10" t="s">
        <v>34</v>
      </c>
      <c r="D167" s="11" t="s">
        <v>11</v>
      </c>
      <c r="E167" s="10" t="s">
        <v>34</v>
      </c>
      <c r="F167" s="11" t="s">
        <v>12</v>
      </c>
      <c r="G167" s="10" t="s">
        <v>34</v>
      </c>
      <c r="H167" s="12" t="s">
        <v>35</v>
      </c>
      <c r="I167" s="5" t="s">
        <v>41</v>
      </c>
      <c r="J167" s="5" t="s">
        <v>42</v>
      </c>
      <c r="K167" s="5" t="s">
        <v>43</v>
      </c>
      <c r="L167" s="57"/>
      <c r="M167" s="61" t="s">
        <v>12</v>
      </c>
      <c r="N167" s="61">
        <f>(E168 * IFERROR(VLOOKUP(F168,DinnerTable[],2,FALSE),0)) + (E169 * IFERROR(VLOOKUP(F169,DinnerTable[],2,FALSE),0)) + (E170 * IFERROR(VLOOKUP(F170,DinnerTable[],2,FALSE),0)) + (E171 * IFERROR(VLOOKUP(F171,DinnerTable[],2,FALSE),0))</f>
        <v>24</v>
      </c>
      <c r="O167" s="61">
        <f>(E168 * IFERROR(VLOOKUP(F168,DinnerTable[],3,FALSE),0)) + (E169 * IFERROR(VLOOKUP(F169,DinnerTable[],3,FALSE),0)) + (E170 * IFERROR(VLOOKUP(F170,DinnerTable[],3,FALSE),0)) + (E171 * IFERROR(VLOOKUP(F171,DinnerTable[],3,FALSE),0))</f>
        <v>6</v>
      </c>
      <c r="P167" s="61">
        <f>(E168 * IFERROR(VLOOKUP(F168,DinnerTable[],4,FALSE),0)) + (E169 * IFERROR(VLOOKUP(F169,DinnerTable[],4,FALSE),0)) + (E170 * IFERROR(VLOOKUP(F170,DinnerTable[],4,FALSE),0)) + (E171 * IFERROR(VLOOKUP(F171,DinnerTable[],4,FALSE),0))</f>
        <v>0</v>
      </c>
    </row>
    <row r="168" spans="1:16" ht="15.75" thickTop="1" x14ac:dyDescent="0.25">
      <c r="A168" s="17">
        <v>1</v>
      </c>
      <c r="B168" s="17" t="s">
        <v>27</v>
      </c>
      <c r="C168" s="17">
        <v>1</v>
      </c>
      <c r="D168" s="17" t="s">
        <v>89</v>
      </c>
      <c r="E168" s="17">
        <v>1</v>
      </c>
      <c r="F168" s="17" t="s">
        <v>63</v>
      </c>
      <c r="G168" s="17">
        <v>1</v>
      </c>
      <c r="H168" s="17"/>
      <c r="I168" s="2">
        <v>3.6</v>
      </c>
      <c r="J168" s="2">
        <v>0.8</v>
      </c>
      <c r="K168" s="2">
        <v>8.8000000000000007</v>
      </c>
      <c r="L168" s="57"/>
      <c r="M168" s="61" t="s">
        <v>35</v>
      </c>
      <c r="N168" s="61">
        <f>(G168 * IFERROR(VLOOKUP(H168,PostWorkoutTable[],2,FALSE),0)) + (G169 * IFERROR(VLOOKUP(H169,PostWorkoutTable[],2,FALSE),0)) + (G170 * IFERROR(VLOOKUP(H170,PostWorkoutTable[],2,FALSE),0)) + (G171 * IFERROR(VLOOKUP(H171,PostWorkoutTable[],2,FALSE),0))</f>
        <v>0</v>
      </c>
      <c r="O168" s="61">
        <f>(G168 * IFERROR(VLOOKUP(H168,PostWorkoutTable[],3,FALSE),0)) + (G169 * IFERROR(VLOOKUP(H169,PostWorkoutTable[],3,FALSE),0)) + (G170 * IFERROR(VLOOKUP(H170,PostWorkoutTable[],3,FALSE),0)) + (G171 * IFERROR(VLOOKUP(H171,PostWorkoutTable[],3,FALSE),0))</f>
        <v>0</v>
      </c>
      <c r="P168" s="61">
        <f>(G168 * IFERROR(VLOOKUP(H168,PostWorkoutTable[],4,FALSE),0)) + (G169 * IFERROR(VLOOKUP(H169,PostWorkoutTable[],4,FALSE),0)) + (G170 * IFERROR(VLOOKUP(H170,PostWorkoutTable[],4,FALSE),0)) + (G171 * IFERROR(VLOOKUP(H171,PostWorkoutTable[],4,FALSE),0))</f>
        <v>0</v>
      </c>
    </row>
    <row r="169" spans="1:16" x14ac:dyDescent="0.25">
      <c r="A169" s="17">
        <v>1</v>
      </c>
      <c r="B169" s="17" t="s">
        <v>87</v>
      </c>
      <c r="C169" s="17">
        <v>1</v>
      </c>
      <c r="D169" s="17" t="s">
        <v>25</v>
      </c>
      <c r="E169" s="17"/>
      <c r="F169" s="17"/>
      <c r="G169" s="17"/>
      <c r="H169" s="17"/>
      <c r="I169" s="2"/>
      <c r="J169" s="2"/>
      <c r="K169" s="2"/>
      <c r="L169" s="57"/>
      <c r="M169" s="61" t="s">
        <v>21</v>
      </c>
      <c r="N169" s="61">
        <f xml:space="preserve"> SUM(I168:I171)</f>
        <v>3.6</v>
      </c>
      <c r="O169" s="61">
        <f>SUM(J168:J171)</f>
        <v>0.8</v>
      </c>
      <c r="P169" s="61">
        <f>SUM(K168:K171)</f>
        <v>8.8000000000000007</v>
      </c>
    </row>
    <row r="170" spans="1:16" x14ac:dyDescent="0.25">
      <c r="A170" s="17">
        <v>1</v>
      </c>
      <c r="B170" s="17" t="s">
        <v>107</v>
      </c>
      <c r="C170" s="17">
        <v>0.5</v>
      </c>
      <c r="D170" s="17" t="s">
        <v>55</v>
      </c>
      <c r="E170" s="17"/>
      <c r="F170" s="17"/>
      <c r="G170" s="17"/>
      <c r="H170" s="17"/>
      <c r="I170" s="2"/>
      <c r="J170" s="2"/>
      <c r="K170" s="2"/>
      <c r="L170" s="57"/>
      <c r="M170" s="61" t="s">
        <v>38</v>
      </c>
      <c r="N170" s="61">
        <f>SUM(N165:N169)</f>
        <v>109.69999999999999</v>
      </c>
      <c r="O170" s="61">
        <f>SUM(O165:O169)</f>
        <v>59.8</v>
      </c>
      <c r="P170" s="61">
        <f>SUM(P165:P169)</f>
        <v>236.10000000000002</v>
      </c>
    </row>
    <row r="171" spans="1:16" x14ac:dyDescent="0.25">
      <c r="A171" s="17"/>
      <c r="B171" s="17"/>
      <c r="C171" s="17">
        <v>1</v>
      </c>
      <c r="D171" s="17" t="s">
        <v>94</v>
      </c>
      <c r="E171" s="17"/>
      <c r="F171" s="17"/>
      <c r="G171" s="17"/>
      <c r="H171" s="17"/>
      <c r="I171" s="2"/>
      <c r="J171" s="2"/>
      <c r="K171" s="2"/>
      <c r="L171" s="57"/>
      <c r="M171" s="57"/>
      <c r="N171" s="57"/>
      <c r="O171" s="57"/>
      <c r="P171" s="57"/>
    </row>
    <row r="172" spans="1:16" x14ac:dyDescent="0.25">
      <c r="A172" s="57"/>
      <c r="B172" s="57"/>
      <c r="C172" s="57"/>
      <c r="D172" s="57"/>
      <c r="E172" s="57"/>
      <c r="F172" s="57"/>
      <c r="G172" s="57"/>
      <c r="H172" s="57"/>
      <c r="I172" s="57">
        <f>SUM(I168:I171)</f>
        <v>3.6</v>
      </c>
      <c r="J172" s="57">
        <f>SUM(J168:J171)</f>
        <v>0.8</v>
      </c>
      <c r="K172" s="57">
        <f>SUM(K168:K171)</f>
        <v>8.8000000000000007</v>
      </c>
      <c r="L172" s="57"/>
      <c r="M172" s="57"/>
      <c r="N172" s="57"/>
      <c r="O172" s="57"/>
      <c r="P172" s="57"/>
    </row>
    <row r="173" spans="1:16" ht="23.25" x14ac:dyDescent="0.35">
      <c r="A173" s="62" t="s">
        <v>118</v>
      </c>
      <c r="B173" s="57"/>
      <c r="C173" s="57"/>
      <c r="D173" s="57"/>
      <c r="E173" s="57"/>
      <c r="F173" s="57"/>
      <c r="G173" s="57"/>
      <c r="H173" s="57"/>
      <c r="I173" s="57"/>
      <c r="J173" s="57"/>
      <c r="K173" s="57"/>
      <c r="L173" s="57"/>
      <c r="M173" s="57"/>
      <c r="N173" s="57"/>
      <c r="O173" s="57"/>
      <c r="P173" s="57"/>
    </row>
    <row r="174" spans="1:16" ht="18" thickBot="1" x14ac:dyDescent="0.35">
      <c r="A174" s="3" t="s">
        <v>48</v>
      </c>
      <c r="B174" s="3" t="s">
        <v>0</v>
      </c>
      <c r="C174" s="3" t="s">
        <v>36</v>
      </c>
      <c r="D174" s="3" t="s">
        <v>8</v>
      </c>
      <c r="E174" s="5" t="s">
        <v>9</v>
      </c>
      <c r="F174" s="5" t="s">
        <v>10</v>
      </c>
      <c r="G174" s="59"/>
      <c r="H174" s="60"/>
      <c r="I174" s="57"/>
      <c r="J174" s="57"/>
      <c r="K174" s="57"/>
      <c r="L174" s="57"/>
      <c r="M174" s="59"/>
      <c r="N174" s="61" t="s">
        <v>8</v>
      </c>
      <c r="O174" s="61" t="s">
        <v>9</v>
      </c>
      <c r="P174" s="61" t="s">
        <v>10</v>
      </c>
    </row>
    <row r="175" spans="1:16" ht="15.75" thickTop="1" x14ac:dyDescent="0.25">
      <c r="A175" s="18">
        <v>43591</v>
      </c>
      <c r="B175" s="16">
        <f>IFERROR(VLOOKUP(A175,OverviewTable[],2,FALSE),"?")</f>
        <v>133.4</v>
      </c>
      <c r="C175" s="16" t="str">
        <f>((N180 * 4) + (O180 * 9) + (P180 * 4))&amp;"/"&amp;IFERROR(VLOOKUP(A175,OverviewTable[],11,FALSE),"?")</f>
        <v>0/2384.4</v>
      </c>
      <c r="D175" s="16" t="str">
        <f>N180&amp;"/"&amp;IFERROR(VLOOKUP(A175,OverviewTable[],12,FALSE),"?")</f>
        <v>0/133</v>
      </c>
      <c r="E175" s="16" t="str">
        <f>O180&amp;"/"&amp;IFERROR(VLOOKUP(A175,OverviewTable[],13,FALSE),"?")</f>
        <v>0/66</v>
      </c>
      <c r="F175" s="16" t="str">
        <f>P180&amp;"/"&amp;IFERROR(VLOOKUP(A175,OverviewTable[],14,FALSE),"?")</f>
        <v>0/315</v>
      </c>
      <c r="G175" s="60"/>
      <c r="H175" s="60"/>
      <c r="I175" s="57"/>
      <c r="J175" s="57"/>
      <c r="K175" s="57"/>
      <c r="L175" s="57"/>
      <c r="M175" s="61" t="s">
        <v>6</v>
      </c>
      <c r="N175" s="61">
        <f>(A178 * IFERROR(VLOOKUP(B178,BreakfastTable[],2,FALSE),0)) + (A179 * IFERROR(VLOOKUP(B179,BreakfastTable[],2,FALSE),0)) + (A180 * IFERROR(VLOOKUP(B180,BreakfastTable[],2,FALSE),0)) + (A181 * IFERROR(VLOOKUP(B181,BreakfastTable[],2,FALSE),0))</f>
        <v>0</v>
      </c>
      <c r="O175" s="61">
        <f>(A178 * IFERROR(VLOOKUP(B178,BreakfastTable[],3,FALSE),0)) + (A179 * IFERROR(VLOOKUP(B179,BreakfastTable[],3,FALSE),0)) + (A180 * IFERROR(VLOOKUP(B180,BreakfastTable[],3,FALSE),0)) + (A181 * IFERROR(VLOOKUP(B181,BreakfastTable[],3,FALSE),0))</f>
        <v>0</v>
      </c>
      <c r="P175" s="61">
        <f>(A178 * IFERROR(VLOOKUP(B178,BreakfastTable[],4,FALSE),0)) + (A179 * IFERROR(VLOOKUP(B179,BreakfastTable[],4,FALSE),0)) + (A180 * IFERROR(VLOOKUP(B180,BreakfastTable[],4,FALSE),0)) + (A181 * IFERROR(VLOOKUP(B181,BreakfastTable[],4,FALSE),0))</f>
        <v>0</v>
      </c>
    </row>
    <row r="176" spans="1:16" x14ac:dyDescent="0.25">
      <c r="A176" s="17"/>
      <c r="B176" s="17"/>
      <c r="C176" s="17"/>
      <c r="D176" s="17"/>
      <c r="E176" s="17"/>
      <c r="F176" s="17"/>
      <c r="G176" s="60"/>
      <c r="H176" s="60"/>
      <c r="I176" s="57"/>
      <c r="J176" s="57"/>
      <c r="K176" s="57"/>
      <c r="L176" s="57"/>
      <c r="M176" s="61" t="s">
        <v>11</v>
      </c>
      <c r="N176" s="61">
        <f>(C178 * IFERROR(VLOOKUP(D178,LunchTable[],2,FALSE),0)) + (C179 * IFERROR(VLOOKUP(D179,LunchTable[],2,FALSE),0)) + (C180 * IFERROR(VLOOKUP(D180,LunchTable[],2,FALSE),0)) + (C181 * IFERROR(VLOOKUP(D181,LunchTable[],2,FALSE),0))</f>
        <v>0</v>
      </c>
      <c r="O176" s="61">
        <f>(C178 * IFERROR(VLOOKUP(D178,LunchTable[],3,FALSE),0)) + (C179 * IFERROR(VLOOKUP(D179,LunchTable[],3,FALSE),0)) + (C180 * IFERROR(VLOOKUP(D180,LunchTable[],3,FALSE),0)) + (C181 * IFERROR(VLOOKUP(D181,LunchTable[],3,FALSE),0))</f>
        <v>0</v>
      </c>
      <c r="P176" s="61">
        <f>(C178 * IFERROR(VLOOKUP(D178,LunchTable[],4,FALSE),0)) + (C179 * IFERROR(VLOOKUP(D179,LunchTable[],4,FALSE),0)) + (C180 * IFERROR(VLOOKUP(D180,LunchTable[],4,FALSE),0)) + (C181 * IFERROR(VLOOKUP(D181,LunchTable[],4,FALSE),0))</f>
        <v>0</v>
      </c>
    </row>
    <row r="177" spans="1:16" ht="18" thickBot="1" x14ac:dyDescent="0.35">
      <c r="A177" s="10" t="s">
        <v>34</v>
      </c>
      <c r="B177" s="11" t="s">
        <v>6</v>
      </c>
      <c r="C177" s="10" t="s">
        <v>34</v>
      </c>
      <c r="D177" s="11" t="s">
        <v>11</v>
      </c>
      <c r="E177" s="10" t="s">
        <v>34</v>
      </c>
      <c r="F177" s="11" t="s">
        <v>12</v>
      </c>
      <c r="G177" s="10" t="s">
        <v>34</v>
      </c>
      <c r="H177" s="12" t="s">
        <v>35</v>
      </c>
      <c r="I177" s="5" t="s">
        <v>41</v>
      </c>
      <c r="J177" s="5" t="s">
        <v>42</v>
      </c>
      <c r="K177" s="5" t="s">
        <v>43</v>
      </c>
      <c r="L177" s="57"/>
      <c r="M177" s="61" t="s">
        <v>12</v>
      </c>
      <c r="N177" s="61">
        <f>(E178 * IFERROR(VLOOKUP(F178,DinnerTable[],2,FALSE),0)) + (E179 * IFERROR(VLOOKUP(F179,DinnerTable[],2,FALSE),0)) + (E180 * IFERROR(VLOOKUP(F180,DinnerTable[],2,FALSE),0)) + (E181 * IFERROR(VLOOKUP(F181,DinnerTable[],2,FALSE),0))</f>
        <v>0</v>
      </c>
      <c r="O177" s="61">
        <f>(E178 * IFERROR(VLOOKUP(F178,DinnerTable[],3,FALSE),0)) + (E179 * IFERROR(VLOOKUP(F179,DinnerTable[],3,FALSE),0)) + (E180 * IFERROR(VLOOKUP(F180,DinnerTable[],3,FALSE),0)) + (E181 * IFERROR(VLOOKUP(F181,DinnerTable[],3,FALSE),0))</f>
        <v>0</v>
      </c>
      <c r="P177" s="61">
        <f>(E178 * IFERROR(VLOOKUP(F178,DinnerTable[],4,FALSE),0)) + (E179 * IFERROR(VLOOKUP(F179,DinnerTable[],4,FALSE),0)) + (E180 * IFERROR(VLOOKUP(F180,DinnerTable[],4,FALSE),0)) + (E181 * IFERROR(VLOOKUP(F181,DinnerTable[],4,FALSE),0))</f>
        <v>0</v>
      </c>
    </row>
    <row r="178" spans="1:16" ht="15.75" thickTop="1" x14ac:dyDescent="0.25">
      <c r="A178" s="17"/>
      <c r="B178" s="17"/>
      <c r="C178" s="17"/>
      <c r="D178" s="17"/>
      <c r="E178" s="17"/>
      <c r="F178" s="17"/>
      <c r="G178" s="17"/>
      <c r="H178" s="17"/>
      <c r="I178" s="2"/>
      <c r="J178" s="2"/>
      <c r="K178" s="2"/>
      <c r="L178" s="57"/>
      <c r="M178" s="61" t="s">
        <v>35</v>
      </c>
      <c r="N178" s="61">
        <f>(G178 * IFERROR(VLOOKUP(H178,PostWorkoutTable[],2,FALSE),0)) + (G179 * IFERROR(VLOOKUP(H179,PostWorkoutTable[],2,FALSE),0)) + (G180 * IFERROR(VLOOKUP(H180,PostWorkoutTable[],2,FALSE),0)) + (G181 * IFERROR(VLOOKUP(H181,PostWorkoutTable[],2,FALSE),0))</f>
        <v>0</v>
      </c>
      <c r="O178" s="61">
        <f>(G178 * IFERROR(VLOOKUP(H178,PostWorkoutTable[],3,FALSE),0)) + (G179 * IFERROR(VLOOKUP(H179,PostWorkoutTable[],3,FALSE),0)) + (G180 * IFERROR(VLOOKUP(H180,PostWorkoutTable[],3,FALSE),0)) + (G181 * IFERROR(VLOOKUP(H181,PostWorkoutTable[],3,FALSE),0))</f>
        <v>0</v>
      </c>
      <c r="P178" s="61">
        <f>(G178 * IFERROR(VLOOKUP(H178,PostWorkoutTable[],4,FALSE),0)) + (G179 * IFERROR(VLOOKUP(H179,PostWorkoutTable[],4,FALSE),0)) + (G180 * IFERROR(VLOOKUP(H180,PostWorkoutTable[],4,FALSE),0)) + (G181 * IFERROR(VLOOKUP(H181,PostWorkoutTable[],4,FALSE),0))</f>
        <v>0</v>
      </c>
    </row>
    <row r="179" spans="1:16" x14ac:dyDescent="0.25">
      <c r="A179" s="17"/>
      <c r="B179" s="17"/>
      <c r="C179" s="17"/>
      <c r="D179" s="17"/>
      <c r="E179" s="17"/>
      <c r="F179" s="17"/>
      <c r="G179" s="17"/>
      <c r="H179" s="17"/>
      <c r="I179" s="2"/>
      <c r="J179" s="2"/>
      <c r="K179" s="2"/>
      <c r="L179" s="57"/>
      <c r="M179" s="61" t="s">
        <v>21</v>
      </c>
      <c r="N179" s="61">
        <f xml:space="preserve"> SUM(I178:I181)</f>
        <v>0</v>
      </c>
      <c r="O179" s="61">
        <f>SUM(J178:J181)</f>
        <v>0</v>
      </c>
      <c r="P179" s="61">
        <f>SUM(K178:K181)</f>
        <v>0</v>
      </c>
    </row>
    <row r="180" spans="1:16" x14ac:dyDescent="0.25">
      <c r="A180" s="17"/>
      <c r="B180" s="17"/>
      <c r="C180" s="17"/>
      <c r="D180" s="17"/>
      <c r="E180" s="17"/>
      <c r="F180" s="17"/>
      <c r="G180" s="17"/>
      <c r="H180" s="17"/>
      <c r="I180" s="2"/>
      <c r="J180" s="2"/>
      <c r="K180" s="2"/>
      <c r="L180" s="57"/>
      <c r="M180" s="61" t="s">
        <v>38</v>
      </c>
      <c r="N180" s="61">
        <f>SUM(N175:N179)</f>
        <v>0</v>
      </c>
      <c r="O180" s="61">
        <f>SUM(O175:O179)</f>
        <v>0</v>
      </c>
      <c r="P180" s="61">
        <f>SUM(P175:P179)</f>
        <v>0</v>
      </c>
    </row>
    <row r="181" spans="1:16" x14ac:dyDescent="0.25">
      <c r="A181" s="17"/>
      <c r="B181" s="17"/>
      <c r="C181" s="17"/>
      <c r="D181" s="17"/>
      <c r="E181" s="17"/>
      <c r="F181" s="17"/>
      <c r="G181" s="17"/>
      <c r="H181" s="17"/>
      <c r="I181" s="2"/>
      <c r="J181" s="2"/>
      <c r="K181" s="2"/>
      <c r="L181" s="57"/>
      <c r="M181" s="57"/>
      <c r="N181" s="57"/>
      <c r="O181" s="57"/>
      <c r="P181" s="57"/>
    </row>
    <row r="182" spans="1:16" x14ac:dyDescent="0.25">
      <c r="A182" s="57"/>
      <c r="B182" s="57"/>
      <c r="C182" s="57"/>
      <c r="D182" s="57"/>
      <c r="E182" s="57"/>
      <c r="F182" s="57"/>
      <c r="G182" s="57"/>
      <c r="H182" s="57"/>
      <c r="I182" s="57">
        <f>SUM(I178:I181)</f>
        <v>0</v>
      </c>
      <c r="J182" s="57">
        <f>SUM(J178:J181)</f>
        <v>0</v>
      </c>
      <c r="K182" s="57">
        <f>SUM(K178:K181)</f>
        <v>0</v>
      </c>
      <c r="L182" s="57"/>
      <c r="M182" s="57"/>
      <c r="N182" s="57"/>
      <c r="O182" s="57"/>
      <c r="P182" s="57"/>
    </row>
    <row r="183" spans="1:16" ht="23.25" x14ac:dyDescent="0.35">
      <c r="A183" s="62" t="s">
        <v>118</v>
      </c>
      <c r="B183" s="57"/>
      <c r="C183" s="57"/>
      <c r="D183" s="57"/>
      <c r="E183" s="57"/>
      <c r="F183" s="57"/>
      <c r="G183" s="57"/>
      <c r="H183" s="57"/>
      <c r="I183" s="57"/>
      <c r="J183" s="57"/>
      <c r="K183" s="57"/>
      <c r="L183" s="57"/>
      <c r="M183" s="57"/>
      <c r="N183" s="57"/>
      <c r="O183" s="57"/>
      <c r="P183" s="57"/>
    </row>
    <row r="184" spans="1:16" ht="18" thickBot="1" x14ac:dyDescent="0.35">
      <c r="A184" s="3" t="s">
        <v>48</v>
      </c>
      <c r="B184" s="3" t="s">
        <v>0</v>
      </c>
      <c r="C184" s="3" t="s">
        <v>36</v>
      </c>
      <c r="D184" s="3" t="s">
        <v>8</v>
      </c>
      <c r="E184" s="5" t="s">
        <v>9</v>
      </c>
      <c r="F184" s="5" t="s">
        <v>10</v>
      </c>
      <c r="G184" s="59"/>
      <c r="H184" s="60"/>
      <c r="I184" s="57"/>
      <c r="J184" s="57"/>
      <c r="K184" s="57"/>
      <c r="L184" s="57"/>
      <c r="M184" s="59"/>
      <c r="N184" s="61" t="s">
        <v>8</v>
      </c>
      <c r="O184" s="61" t="s">
        <v>9</v>
      </c>
      <c r="P184" s="61" t="s">
        <v>10</v>
      </c>
    </row>
    <row r="185" spans="1:16" ht="15.75" thickTop="1" x14ac:dyDescent="0.25">
      <c r="A185" s="18">
        <v>43591</v>
      </c>
      <c r="B185" s="16">
        <f>IFERROR(VLOOKUP(A185,OverviewTable[],2,FALSE),"?")</f>
        <v>133.4</v>
      </c>
      <c r="C185" s="16" t="str">
        <f>((N190 * 4) + (O190 * 9) + (P190 * 4))&amp;"/"&amp;IFERROR(VLOOKUP(A185,OverviewTable[],11,FALSE),"?")</f>
        <v>0/2384.4</v>
      </c>
      <c r="D185" s="16" t="str">
        <f>N190&amp;"/"&amp;IFERROR(VLOOKUP(A185,OverviewTable[],12,FALSE),"?")</f>
        <v>0/133</v>
      </c>
      <c r="E185" s="16" t="str">
        <f>O190&amp;"/"&amp;IFERROR(VLOOKUP(A185,OverviewTable[],13,FALSE),"?")</f>
        <v>0/66</v>
      </c>
      <c r="F185" s="16" t="str">
        <f>P190&amp;"/"&amp;IFERROR(VLOOKUP(A185,OverviewTable[],14,FALSE),"?")</f>
        <v>0/315</v>
      </c>
      <c r="G185" s="60"/>
      <c r="H185" s="60"/>
      <c r="I185" s="57"/>
      <c r="J185" s="57"/>
      <c r="K185" s="57"/>
      <c r="L185" s="57"/>
      <c r="M185" s="61" t="s">
        <v>6</v>
      </c>
      <c r="N185" s="61">
        <f>(A188 * IFERROR(VLOOKUP(B188,BreakfastTable[],2,FALSE),0)) + (A189 * IFERROR(VLOOKUP(B189,BreakfastTable[],2,FALSE),0)) + (A190 * IFERROR(VLOOKUP(B190,BreakfastTable[],2,FALSE),0)) + (A191 * IFERROR(VLOOKUP(B191,BreakfastTable[],2,FALSE),0))</f>
        <v>0</v>
      </c>
      <c r="O185" s="61">
        <f>(A188 * IFERROR(VLOOKUP(B188,BreakfastTable[],3,FALSE),0)) + (A189 * IFERROR(VLOOKUP(B189,BreakfastTable[],3,FALSE),0)) + (A190 * IFERROR(VLOOKUP(B190,BreakfastTable[],3,FALSE),0)) + (A191 * IFERROR(VLOOKUP(B191,BreakfastTable[],3,FALSE),0))</f>
        <v>0</v>
      </c>
      <c r="P185" s="61">
        <f>(A188 * IFERROR(VLOOKUP(B188,BreakfastTable[],4,FALSE),0)) + (A189 * IFERROR(VLOOKUP(B189,BreakfastTable[],4,FALSE),0)) + (A190 * IFERROR(VLOOKUP(B190,BreakfastTable[],4,FALSE),0)) + (A191 * IFERROR(VLOOKUP(B191,BreakfastTable[],4,FALSE),0))</f>
        <v>0</v>
      </c>
    </row>
    <row r="186" spans="1:16" x14ac:dyDescent="0.25">
      <c r="A186" s="17"/>
      <c r="B186" s="17"/>
      <c r="C186" s="17"/>
      <c r="D186" s="17"/>
      <c r="E186" s="17"/>
      <c r="F186" s="17"/>
      <c r="G186" s="60"/>
      <c r="H186" s="60"/>
      <c r="I186" s="57"/>
      <c r="J186" s="57"/>
      <c r="K186" s="57"/>
      <c r="L186" s="57"/>
      <c r="M186" s="61" t="s">
        <v>11</v>
      </c>
      <c r="N186" s="61">
        <f>(C188 * IFERROR(VLOOKUP(D188,LunchTable[],2,FALSE),0)) + (C189 * IFERROR(VLOOKUP(D189,LunchTable[],2,FALSE),0)) + (C190 * IFERROR(VLOOKUP(D190,LunchTable[],2,FALSE),0)) + (C191 * IFERROR(VLOOKUP(D191,LunchTable[],2,FALSE),0))</f>
        <v>0</v>
      </c>
      <c r="O186" s="61">
        <f>(C188 * IFERROR(VLOOKUP(D188,LunchTable[],3,FALSE),0)) + (C189 * IFERROR(VLOOKUP(D189,LunchTable[],3,FALSE),0)) + (C190 * IFERROR(VLOOKUP(D190,LunchTable[],3,FALSE),0)) + (C191 * IFERROR(VLOOKUP(D191,LunchTable[],3,FALSE),0))</f>
        <v>0</v>
      </c>
      <c r="P186" s="61">
        <f>(C188 * IFERROR(VLOOKUP(D188,LunchTable[],4,FALSE),0)) + (C189 * IFERROR(VLOOKUP(D189,LunchTable[],4,FALSE),0)) + (C190 * IFERROR(VLOOKUP(D190,LunchTable[],4,FALSE),0)) + (C191 * IFERROR(VLOOKUP(D191,LunchTable[],4,FALSE),0))</f>
        <v>0</v>
      </c>
    </row>
    <row r="187" spans="1:16" ht="18" thickBot="1" x14ac:dyDescent="0.35">
      <c r="A187" s="10" t="s">
        <v>34</v>
      </c>
      <c r="B187" s="11" t="s">
        <v>6</v>
      </c>
      <c r="C187" s="10" t="s">
        <v>34</v>
      </c>
      <c r="D187" s="11" t="s">
        <v>11</v>
      </c>
      <c r="E187" s="10" t="s">
        <v>34</v>
      </c>
      <c r="F187" s="11" t="s">
        <v>12</v>
      </c>
      <c r="G187" s="10" t="s">
        <v>34</v>
      </c>
      <c r="H187" s="12" t="s">
        <v>35</v>
      </c>
      <c r="I187" s="5" t="s">
        <v>41</v>
      </c>
      <c r="J187" s="5" t="s">
        <v>42</v>
      </c>
      <c r="K187" s="5" t="s">
        <v>43</v>
      </c>
      <c r="L187" s="57"/>
      <c r="M187" s="61" t="s">
        <v>12</v>
      </c>
      <c r="N187" s="61">
        <f>(E188 * IFERROR(VLOOKUP(F188,DinnerTable[],2,FALSE),0)) + (E189 * IFERROR(VLOOKUP(F189,DinnerTable[],2,FALSE),0)) + (E190 * IFERROR(VLOOKUP(F190,DinnerTable[],2,FALSE),0)) + (E191 * IFERROR(VLOOKUP(F191,DinnerTable[],2,FALSE),0))</f>
        <v>0</v>
      </c>
      <c r="O187" s="61">
        <f>(E188 * IFERROR(VLOOKUP(F188,DinnerTable[],3,FALSE),0)) + (E189 * IFERROR(VLOOKUP(F189,DinnerTable[],3,FALSE),0)) + (E190 * IFERROR(VLOOKUP(F190,DinnerTable[],3,FALSE),0)) + (E191 * IFERROR(VLOOKUP(F191,DinnerTable[],3,FALSE),0))</f>
        <v>0</v>
      </c>
      <c r="P187" s="61">
        <f>(E188 * IFERROR(VLOOKUP(F188,DinnerTable[],4,FALSE),0)) + (E189 * IFERROR(VLOOKUP(F189,DinnerTable[],4,FALSE),0)) + (E190 * IFERROR(VLOOKUP(F190,DinnerTable[],4,FALSE),0)) + (E191 * IFERROR(VLOOKUP(F191,DinnerTable[],4,FALSE),0))</f>
        <v>0</v>
      </c>
    </row>
    <row r="188" spans="1:16" ht="15.75" thickTop="1" x14ac:dyDescent="0.25">
      <c r="A188" s="17"/>
      <c r="B188" s="17"/>
      <c r="C188" s="17"/>
      <c r="D188" s="17"/>
      <c r="E188" s="17"/>
      <c r="F188" s="17"/>
      <c r="G188" s="17"/>
      <c r="H188" s="17"/>
      <c r="I188" s="2"/>
      <c r="J188" s="2"/>
      <c r="K188" s="2"/>
      <c r="L188" s="57"/>
      <c r="M188" s="61" t="s">
        <v>35</v>
      </c>
      <c r="N188" s="61">
        <f>(G188 * IFERROR(VLOOKUP(H188,PostWorkoutTable[],2,FALSE),0)) + (G189 * IFERROR(VLOOKUP(H189,PostWorkoutTable[],2,FALSE),0)) + (G190 * IFERROR(VLOOKUP(H190,PostWorkoutTable[],2,FALSE),0)) + (G191 * IFERROR(VLOOKUP(H191,PostWorkoutTable[],2,FALSE),0))</f>
        <v>0</v>
      </c>
      <c r="O188" s="61">
        <f>(G188 * IFERROR(VLOOKUP(H188,PostWorkoutTable[],3,FALSE),0)) + (G189 * IFERROR(VLOOKUP(H189,PostWorkoutTable[],3,FALSE),0)) + (G190 * IFERROR(VLOOKUP(H190,PostWorkoutTable[],3,FALSE),0)) + (G191 * IFERROR(VLOOKUP(H191,PostWorkoutTable[],3,FALSE),0))</f>
        <v>0</v>
      </c>
      <c r="P188" s="61">
        <f>(G188 * IFERROR(VLOOKUP(H188,PostWorkoutTable[],4,FALSE),0)) + (G189 * IFERROR(VLOOKUP(H189,PostWorkoutTable[],4,FALSE),0)) + (G190 * IFERROR(VLOOKUP(H190,PostWorkoutTable[],4,FALSE),0)) + (G191 * IFERROR(VLOOKUP(H191,PostWorkoutTable[],4,FALSE),0))</f>
        <v>0</v>
      </c>
    </row>
    <row r="189" spans="1:16" x14ac:dyDescent="0.25">
      <c r="A189" s="17"/>
      <c r="B189" s="17"/>
      <c r="C189" s="17"/>
      <c r="D189" s="17"/>
      <c r="E189" s="17"/>
      <c r="F189" s="17"/>
      <c r="G189" s="17"/>
      <c r="H189" s="17"/>
      <c r="I189" s="2"/>
      <c r="J189" s="2"/>
      <c r="K189" s="2"/>
      <c r="L189" s="57"/>
      <c r="M189" s="61" t="s">
        <v>21</v>
      </c>
      <c r="N189" s="61">
        <f xml:space="preserve"> SUM(I188:I191)</f>
        <v>0</v>
      </c>
      <c r="O189" s="61">
        <f>SUM(J188:J191)</f>
        <v>0</v>
      </c>
      <c r="P189" s="61">
        <f>SUM(K188:K191)</f>
        <v>0</v>
      </c>
    </row>
    <row r="190" spans="1:16" x14ac:dyDescent="0.25">
      <c r="A190" s="17"/>
      <c r="B190" s="17"/>
      <c r="C190" s="17"/>
      <c r="D190" s="17"/>
      <c r="E190" s="17"/>
      <c r="F190" s="17"/>
      <c r="G190" s="17"/>
      <c r="H190" s="17"/>
      <c r="I190" s="2"/>
      <c r="J190" s="2"/>
      <c r="K190" s="2"/>
      <c r="L190" s="57"/>
      <c r="M190" s="61" t="s">
        <v>38</v>
      </c>
      <c r="N190" s="61">
        <f>SUM(N185:N189)</f>
        <v>0</v>
      </c>
      <c r="O190" s="61">
        <f>SUM(O185:O189)</f>
        <v>0</v>
      </c>
      <c r="P190" s="61">
        <f>SUM(P185:P189)</f>
        <v>0</v>
      </c>
    </row>
    <row r="191" spans="1:16" x14ac:dyDescent="0.25">
      <c r="A191" s="17"/>
      <c r="B191" s="17"/>
      <c r="C191" s="17"/>
      <c r="D191" s="17"/>
      <c r="E191" s="17"/>
      <c r="F191" s="17"/>
      <c r="G191" s="17"/>
      <c r="H191" s="17"/>
      <c r="I191" s="2"/>
      <c r="J191" s="2"/>
      <c r="K191" s="2"/>
      <c r="L191" s="57"/>
      <c r="M191" s="57"/>
      <c r="N191" s="57"/>
      <c r="O191" s="57"/>
      <c r="P191" s="57"/>
    </row>
    <row r="192" spans="1:16" x14ac:dyDescent="0.25">
      <c r="A192" s="57"/>
      <c r="B192" s="57"/>
      <c r="C192" s="57"/>
      <c r="D192" s="57"/>
      <c r="E192" s="57"/>
      <c r="F192" s="57"/>
      <c r="G192" s="57"/>
      <c r="H192" s="57"/>
      <c r="I192" s="57">
        <f>SUM(I188:I191)</f>
        <v>0</v>
      </c>
      <c r="J192" s="57">
        <f>SUM(J188:J191)</f>
        <v>0</v>
      </c>
      <c r="K192" s="57">
        <f>SUM(K188:K191)</f>
        <v>0</v>
      </c>
      <c r="L192" s="57"/>
      <c r="M192" s="57"/>
      <c r="N192" s="57"/>
      <c r="O192" s="57"/>
      <c r="P192" s="57"/>
    </row>
    <row r="193" spans="1:16" ht="23.25" x14ac:dyDescent="0.35">
      <c r="A193" s="62" t="s">
        <v>118</v>
      </c>
      <c r="B193" s="57"/>
      <c r="C193" s="57"/>
      <c r="D193" s="57"/>
      <c r="E193" s="57"/>
      <c r="F193" s="57"/>
      <c r="G193" s="57"/>
      <c r="H193" s="57"/>
      <c r="I193" s="57"/>
      <c r="J193" s="57"/>
      <c r="K193" s="57"/>
      <c r="L193" s="57"/>
      <c r="M193" s="57"/>
      <c r="N193" s="57"/>
      <c r="O193" s="57"/>
      <c r="P193" s="57"/>
    </row>
    <row r="194" spans="1:16" ht="18" thickBot="1" x14ac:dyDescent="0.35">
      <c r="A194" s="3" t="s">
        <v>48</v>
      </c>
      <c r="B194" s="3" t="s">
        <v>0</v>
      </c>
      <c r="C194" s="3" t="s">
        <v>36</v>
      </c>
      <c r="D194" s="3" t="s">
        <v>8</v>
      </c>
      <c r="E194" s="5" t="s">
        <v>9</v>
      </c>
      <c r="F194" s="5" t="s">
        <v>10</v>
      </c>
      <c r="G194" s="59"/>
      <c r="H194" s="60"/>
      <c r="I194" s="57"/>
      <c r="J194" s="57"/>
      <c r="K194" s="57"/>
      <c r="L194" s="57"/>
      <c r="M194" s="59"/>
      <c r="N194" s="61" t="s">
        <v>8</v>
      </c>
      <c r="O194" s="61" t="s">
        <v>9</v>
      </c>
      <c r="P194" s="61" t="s">
        <v>10</v>
      </c>
    </row>
    <row r="195" spans="1:16" ht="15.75" thickTop="1" x14ac:dyDescent="0.25">
      <c r="A195" s="18">
        <v>43591</v>
      </c>
      <c r="B195" s="16">
        <f>IFERROR(VLOOKUP(A195,OverviewTable[],2,FALSE),"?")</f>
        <v>133.4</v>
      </c>
      <c r="C195" s="16" t="str">
        <f>((N200 * 4) + (O200 * 9) + (P200 * 4))&amp;"/"&amp;IFERROR(VLOOKUP(A195,OverviewTable[],11,FALSE),"?")</f>
        <v>0/2384.4</v>
      </c>
      <c r="D195" s="16" t="str">
        <f>N200&amp;"/"&amp;IFERROR(VLOOKUP(A195,OverviewTable[],12,FALSE),"?")</f>
        <v>0/133</v>
      </c>
      <c r="E195" s="16" t="str">
        <f>O200&amp;"/"&amp;IFERROR(VLOOKUP(A195,OverviewTable[],13,FALSE),"?")</f>
        <v>0/66</v>
      </c>
      <c r="F195" s="16" t="str">
        <f>P200&amp;"/"&amp;IFERROR(VLOOKUP(A195,OverviewTable[],14,FALSE),"?")</f>
        <v>0/315</v>
      </c>
      <c r="G195" s="60"/>
      <c r="H195" s="60"/>
      <c r="I195" s="57"/>
      <c r="J195" s="57"/>
      <c r="K195" s="57"/>
      <c r="L195" s="57"/>
      <c r="M195" s="61" t="s">
        <v>6</v>
      </c>
      <c r="N195" s="61">
        <f>(A198 * IFERROR(VLOOKUP(B198,BreakfastTable[],2,FALSE),0)) + (A199 * IFERROR(VLOOKUP(B199,BreakfastTable[],2,FALSE),0)) + (A200 * IFERROR(VLOOKUP(B200,BreakfastTable[],2,FALSE),0)) + (A201 * IFERROR(VLOOKUP(B201,BreakfastTable[],2,FALSE),0))</f>
        <v>0</v>
      </c>
      <c r="O195" s="61">
        <f>(A198 * IFERROR(VLOOKUP(B198,BreakfastTable[],3,FALSE),0)) + (A199 * IFERROR(VLOOKUP(B199,BreakfastTable[],3,FALSE),0)) + (A200 * IFERROR(VLOOKUP(B200,BreakfastTable[],3,FALSE),0)) + (A201 * IFERROR(VLOOKUP(B201,BreakfastTable[],3,FALSE),0))</f>
        <v>0</v>
      </c>
      <c r="P195" s="61">
        <f>(A198 * IFERROR(VLOOKUP(B198,BreakfastTable[],4,FALSE),0)) + (A199 * IFERROR(VLOOKUP(B199,BreakfastTable[],4,FALSE),0)) + (A200 * IFERROR(VLOOKUP(B200,BreakfastTable[],4,FALSE),0)) + (A201 * IFERROR(VLOOKUP(B201,BreakfastTable[],4,FALSE),0))</f>
        <v>0</v>
      </c>
    </row>
    <row r="196" spans="1:16" x14ac:dyDescent="0.25">
      <c r="A196" s="17"/>
      <c r="B196" s="17"/>
      <c r="C196" s="17"/>
      <c r="D196" s="17"/>
      <c r="E196" s="17"/>
      <c r="F196" s="17"/>
      <c r="G196" s="60"/>
      <c r="H196" s="60"/>
      <c r="I196" s="57"/>
      <c r="J196" s="57"/>
      <c r="K196" s="57"/>
      <c r="L196" s="57"/>
      <c r="M196" s="61" t="s">
        <v>11</v>
      </c>
      <c r="N196" s="61">
        <f>(C198 * IFERROR(VLOOKUP(D198,LunchTable[],2,FALSE),0)) + (C199 * IFERROR(VLOOKUP(D199,LunchTable[],2,FALSE),0)) + (C200 * IFERROR(VLOOKUP(D200,LunchTable[],2,FALSE),0)) + (C201 * IFERROR(VLOOKUP(D201,LunchTable[],2,FALSE),0))</f>
        <v>0</v>
      </c>
      <c r="O196" s="61">
        <f>(C198 * IFERROR(VLOOKUP(D198,LunchTable[],3,FALSE),0)) + (C199 * IFERROR(VLOOKUP(D199,LunchTable[],3,FALSE),0)) + (C200 * IFERROR(VLOOKUP(D200,LunchTable[],3,FALSE),0)) + (C201 * IFERROR(VLOOKUP(D201,LunchTable[],3,FALSE),0))</f>
        <v>0</v>
      </c>
      <c r="P196" s="61">
        <f>(C198 * IFERROR(VLOOKUP(D198,LunchTable[],4,FALSE),0)) + (C199 * IFERROR(VLOOKUP(D199,LunchTable[],4,FALSE),0)) + (C200 * IFERROR(VLOOKUP(D200,LunchTable[],4,FALSE),0)) + (C201 * IFERROR(VLOOKUP(D201,LunchTable[],4,FALSE),0))</f>
        <v>0</v>
      </c>
    </row>
    <row r="197" spans="1:16" ht="18" thickBot="1" x14ac:dyDescent="0.35">
      <c r="A197" s="10" t="s">
        <v>34</v>
      </c>
      <c r="B197" s="11" t="s">
        <v>6</v>
      </c>
      <c r="C197" s="10" t="s">
        <v>34</v>
      </c>
      <c r="D197" s="11" t="s">
        <v>11</v>
      </c>
      <c r="E197" s="10" t="s">
        <v>34</v>
      </c>
      <c r="F197" s="11" t="s">
        <v>12</v>
      </c>
      <c r="G197" s="10" t="s">
        <v>34</v>
      </c>
      <c r="H197" s="12" t="s">
        <v>35</v>
      </c>
      <c r="I197" s="5" t="s">
        <v>41</v>
      </c>
      <c r="J197" s="5" t="s">
        <v>42</v>
      </c>
      <c r="K197" s="5" t="s">
        <v>43</v>
      </c>
      <c r="L197" s="57"/>
      <c r="M197" s="61" t="s">
        <v>12</v>
      </c>
      <c r="N197" s="61">
        <f>(E198 * IFERROR(VLOOKUP(F198,DinnerTable[],2,FALSE),0)) + (E199 * IFERROR(VLOOKUP(F199,DinnerTable[],2,FALSE),0)) + (E200 * IFERROR(VLOOKUP(F200,DinnerTable[],2,FALSE),0)) + (E201 * IFERROR(VLOOKUP(F201,DinnerTable[],2,FALSE),0))</f>
        <v>0</v>
      </c>
      <c r="O197" s="61">
        <f>(E198 * IFERROR(VLOOKUP(F198,DinnerTable[],3,FALSE),0)) + (E199 * IFERROR(VLOOKUP(F199,DinnerTable[],3,FALSE),0)) + (E200 * IFERROR(VLOOKUP(F200,DinnerTable[],3,FALSE),0)) + (E201 * IFERROR(VLOOKUP(F201,DinnerTable[],3,FALSE),0))</f>
        <v>0</v>
      </c>
      <c r="P197" s="61">
        <f>(E198 * IFERROR(VLOOKUP(F198,DinnerTable[],4,FALSE),0)) + (E199 * IFERROR(VLOOKUP(F199,DinnerTable[],4,FALSE),0)) + (E200 * IFERROR(VLOOKUP(F200,DinnerTable[],4,FALSE),0)) + (E201 * IFERROR(VLOOKUP(F201,DinnerTable[],4,FALSE),0))</f>
        <v>0</v>
      </c>
    </row>
    <row r="198" spans="1:16" ht="15.75" thickTop="1" x14ac:dyDescent="0.25">
      <c r="A198" s="17"/>
      <c r="B198" s="17"/>
      <c r="C198" s="17"/>
      <c r="D198" s="17"/>
      <c r="E198" s="17"/>
      <c r="F198" s="17"/>
      <c r="G198" s="17"/>
      <c r="H198" s="17"/>
      <c r="I198" s="2"/>
      <c r="J198" s="2"/>
      <c r="K198" s="2"/>
      <c r="L198" s="57"/>
      <c r="M198" s="61" t="s">
        <v>35</v>
      </c>
      <c r="N198" s="61">
        <f>(G198 * IFERROR(VLOOKUP(H198,PostWorkoutTable[],2,FALSE),0)) + (G199 * IFERROR(VLOOKUP(H199,PostWorkoutTable[],2,FALSE),0)) + (G200 * IFERROR(VLOOKUP(H200,PostWorkoutTable[],2,FALSE),0)) + (G201 * IFERROR(VLOOKUP(H201,PostWorkoutTable[],2,FALSE),0))</f>
        <v>0</v>
      </c>
      <c r="O198" s="61">
        <f>(G198 * IFERROR(VLOOKUP(H198,PostWorkoutTable[],3,FALSE),0)) + (G199 * IFERROR(VLOOKUP(H199,PostWorkoutTable[],3,FALSE),0)) + (G200 * IFERROR(VLOOKUP(H200,PostWorkoutTable[],3,FALSE),0)) + (G201 * IFERROR(VLOOKUP(H201,PostWorkoutTable[],3,FALSE),0))</f>
        <v>0</v>
      </c>
      <c r="P198" s="61">
        <f>(G198 * IFERROR(VLOOKUP(H198,PostWorkoutTable[],4,FALSE),0)) + (G199 * IFERROR(VLOOKUP(H199,PostWorkoutTable[],4,FALSE),0)) + (G200 * IFERROR(VLOOKUP(H200,PostWorkoutTable[],4,FALSE),0)) + (G201 * IFERROR(VLOOKUP(H201,PostWorkoutTable[],4,FALSE),0))</f>
        <v>0</v>
      </c>
    </row>
    <row r="199" spans="1:16" x14ac:dyDescent="0.25">
      <c r="A199" s="17"/>
      <c r="B199" s="17"/>
      <c r="C199" s="17"/>
      <c r="D199" s="17"/>
      <c r="E199" s="17"/>
      <c r="F199" s="17"/>
      <c r="G199" s="17"/>
      <c r="H199" s="17"/>
      <c r="I199" s="2"/>
      <c r="J199" s="2"/>
      <c r="K199" s="2"/>
      <c r="L199" s="57"/>
      <c r="M199" s="61" t="s">
        <v>21</v>
      </c>
      <c r="N199" s="61">
        <f xml:space="preserve"> SUM(I198:I201)</f>
        <v>0</v>
      </c>
      <c r="O199" s="61">
        <f>SUM(J198:J201)</f>
        <v>0</v>
      </c>
      <c r="P199" s="61">
        <f>SUM(K198:K201)</f>
        <v>0</v>
      </c>
    </row>
    <row r="200" spans="1:16" x14ac:dyDescent="0.25">
      <c r="A200" s="17"/>
      <c r="B200" s="17"/>
      <c r="C200" s="17"/>
      <c r="D200" s="17"/>
      <c r="E200" s="17"/>
      <c r="F200" s="17"/>
      <c r="G200" s="17"/>
      <c r="H200" s="17"/>
      <c r="I200" s="2"/>
      <c r="J200" s="2"/>
      <c r="K200" s="2"/>
      <c r="L200" s="57"/>
      <c r="M200" s="61" t="s">
        <v>38</v>
      </c>
      <c r="N200" s="61">
        <f>SUM(N195:N199)</f>
        <v>0</v>
      </c>
      <c r="O200" s="61">
        <f>SUM(O195:O199)</f>
        <v>0</v>
      </c>
      <c r="P200" s="61">
        <f>SUM(P195:P199)</f>
        <v>0</v>
      </c>
    </row>
    <row r="201" spans="1:16" x14ac:dyDescent="0.25">
      <c r="A201" s="17"/>
      <c r="B201" s="17"/>
      <c r="C201" s="17"/>
      <c r="D201" s="17"/>
      <c r="E201" s="17"/>
      <c r="F201" s="17"/>
      <c r="G201" s="17"/>
      <c r="H201" s="17"/>
      <c r="I201" s="2"/>
      <c r="J201" s="2"/>
      <c r="K201" s="2"/>
      <c r="L201" s="57"/>
      <c r="M201" s="57"/>
      <c r="N201" s="57"/>
      <c r="O201" s="57"/>
      <c r="P201" s="57"/>
    </row>
    <row r="1048576" spans="1:3" x14ac:dyDescent="0.25">
      <c r="A1048576">
        <f>SUM(A8:A1048575)</f>
        <v>1525980</v>
      </c>
      <c r="C1048576">
        <f>SUM(C1:C1048575)</f>
        <v>33.83</v>
      </c>
    </row>
  </sheetData>
  <dataValidations count="6">
    <dataValidation type="list" allowBlank="1" showInputMessage="1" showErrorMessage="1" sqref="A35 A15 A25 A5 A55 A45 A75 A65 A95 A85 A115 A105 A135 A125 A155 A145 A175 A165 A195 A185" xr:uid="{30B53DDD-FF7D-4944-AB15-052EC18D0534}">
      <formula1 xml:space="preserve"> OverviewWeekRange</formula1>
    </dataValidation>
    <dataValidation type="list" allowBlank="1" showInputMessage="1" showErrorMessage="1" sqref="B8:B11 B18:B21 B28:B31 B38:B41 B48:B51 B58:B61 B68:B71 B78:B81 B88:B91 B98:B101 B108:B111 B118:B121 B128:B131 B138:B141 B148:B151 B158:B161 B198:B201 B178:B181 B188:B191 B168:B171" xr:uid="{38B0F217-E98E-4FE7-988C-93A7A9B7E06C}">
      <formula1>BreakfastMealRange</formula1>
    </dataValidation>
    <dataValidation type="list" allowBlank="1" showInputMessage="1" showErrorMessage="1" sqref="D8:D11 D38:D41 D28:D31 D58:D61 D48:D51 D78:D81 D68:D71 D90:D91 D188:D191 D118:D121 D108:D111 D138:D141 D128:D131 D98:D101 D148:D151 D178:D181 D198:D201 D168:D171" xr:uid="{FFF50E50-3CBC-41AA-B661-39D386A3FAA7}">
      <formula1>LunchMealRange</formula1>
    </dataValidation>
    <dataValidation type="list" allowBlank="1" showInputMessage="1" showErrorMessage="1" sqref="F8:F11 D18:D21 F28:F31 F198:F201 F18:F21 F48:F51 F38:F41 F58:F61 F78:F81 F88:F91 F98:F101 F108:F111 F118:F121 F128:F131 F138:F141 F148:F151 D158:D161 F158:F161 F178:F181 F188:F191 F68:F71 D88:D89 F168:F171" xr:uid="{02E6EEC7-5684-40DF-827D-6875571B2038}">
      <formula1>DinnerMealRange</formula1>
    </dataValidation>
    <dataValidation type="list" allowBlank="1" showInputMessage="1" showErrorMessage="1" sqref="H8:H11 H18:H21 H28:H31 H38:H41 H48:H51 H58:H61 H68:H71 H78:H81 H88:H91 H98:H101 H108:H111 H118:H121 H128:H131 H138:H141 H148:H151 H158:H161 H198:H201 H178:H181 H188:H191 H168:H171" xr:uid="{49CA5BA0-96D7-455F-99B6-AE04F35E893D}">
      <formula1>PostWorkoutMealRange</formula1>
    </dataValidation>
    <dataValidation type="list" allowBlank="1" showInputMessage="1" showErrorMessage="1" sqref="A38:A41 C8:C11 E8:E11 G8:G11 C18:C21 G18:G21 A18:A21 A8:A11 C28:C31 E28:E31 G28:G31 A28:A31 C38:C41 G198:G201 G38:G41 E18:E21 A58:A61 C48:C51 E48:E51 G48:G51 A48:A51 C58:C61 E38:E41 G58:G61 A78:A81 C68:C71 E58:E61 G68:G71 A68:A71 C78:C81 E78:E81 G78:G81 A98:A101 E68:E71 E88:E91 G88:G91 A88:A91 C88:C91 E98:E101 G98:G101 A118:A121 C108:C111 E108:E111 G108:G111 A108:A111 C118:C121 E118:E121 G118:G121 A138:A141 C128:C131 E128:E131 G128:G131 A128:A131 C138:C141 E138:E141 G138:G141 A158:A161 C148:C151 E148:E151 G148:G151 A148:A151 C98:C101 C158:C161 G158:G161 A178:A181 A188:A191 C198:C201 E198:E201 E158:E161 C178:C181 E178:E181 G178:G181 A198:A201 C188:C191 E188:E191 G188:G191 C168:C171 E168:E171 G168:G171 A168:A171" xr:uid="{8105FB67-CD5F-477F-9D08-C369EEECC8E5}">
      <formula1 xml:space="preserve"> AmountRange</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152DF-5346-4D30-A9EB-FCD3817D25E6}">
  <sheetPr codeName="Sheet4"/>
  <dimension ref="A1:AQ32"/>
  <sheetViews>
    <sheetView topLeftCell="A10" zoomScale="115" zoomScaleNormal="115" workbookViewId="0">
      <selection activeCell="B37" sqref="B37"/>
    </sheetView>
  </sheetViews>
  <sheetFormatPr defaultRowHeight="15" x14ac:dyDescent="0.25"/>
  <cols>
    <col min="1" max="1" width="35.7109375" customWidth="1"/>
    <col min="2" max="4" width="18.7109375" customWidth="1"/>
    <col min="5" max="5" width="5.7109375" customWidth="1"/>
    <col min="6" max="6" width="35.7109375" customWidth="1"/>
    <col min="7" max="9" width="18.7109375" customWidth="1"/>
    <col min="10" max="10" width="5.7109375" customWidth="1"/>
    <col min="11" max="11" width="35.7109375" customWidth="1"/>
    <col min="12" max="14" width="18.7109375" customWidth="1"/>
    <col min="15" max="15" width="5.7109375" customWidth="1"/>
    <col min="16" max="16" width="35.7109375" customWidth="1"/>
    <col min="17" max="19" width="18.7109375" customWidth="1"/>
    <col min="20" max="20" width="5.7109375" customWidth="1"/>
    <col min="21" max="21" width="35.7109375" customWidth="1"/>
    <col min="22" max="22" width="5.7109375" customWidth="1"/>
    <col min="23" max="23" width="35.7109375" customWidth="1"/>
    <col min="24" max="26" width="18.7109375" customWidth="1"/>
    <col min="27" max="27" width="5.7109375" customWidth="1"/>
    <col min="28" max="28" width="12.7109375" customWidth="1"/>
    <col min="29" max="29" width="9.7109375" customWidth="1"/>
    <col min="30" max="32" width="12.7109375" customWidth="1"/>
    <col min="33" max="33" width="5.7109375" customWidth="1"/>
    <col min="34" max="34" width="12.7109375" customWidth="1"/>
    <col min="35" max="35" width="9.7109375" customWidth="1"/>
    <col min="36" max="36" width="35.7109375" customWidth="1"/>
    <col min="37" max="39" width="12.7109375" customWidth="1"/>
  </cols>
  <sheetData>
    <row r="1" spans="1:43" ht="23.25" x14ac:dyDescent="0.35">
      <c r="A1" s="6" t="s">
        <v>5</v>
      </c>
    </row>
    <row r="2" spans="1:43" ht="20.25" thickBot="1" x14ac:dyDescent="0.35">
      <c r="A2" s="8" t="s">
        <v>6</v>
      </c>
      <c r="B2" s="17"/>
      <c r="C2" s="17"/>
      <c r="D2" s="17"/>
      <c r="E2" s="17"/>
      <c r="F2" s="7" t="s">
        <v>11</v>
      </c>
      <c r="G2" s="7"/>
      <c r="H2" s="7"/>
      <c r="I2" s="7"/>
      <c r="J2" s="17"/>
      <c r="K2" s="7" t="s">
        <v>12</v>
      </c>
      <c r="L2" s="7"/>
      <c r="M2" s="7"/>
      <c r="N2" s="7"/>
      <c r="O2" s="17"/>
      <c r="P2" s="7" t="s">
        <v>35</v>
      </c>
      <c r="Q2" s="7"/>
      <c r="R2" s="7"/>
      <c r="S2" s="7"/>
      <c r="T2" s="17"/>
      <c r="U2" s="7" t="s">
        <v>34</v>
      </c>
      <c r="V2" s="17"/>
      <c r="W2" s="7" t="s">
        <v>78</v>
      </c>
      <c r="X2" s="7"/>
      <c r="Y2" s="7"/>
      <c r="Z2" s="7"/>
      <c r="AA2" s="17"/>
      <c r="AB2" s="17"/>
      <c r="AC2" s="7" t="s">
        <v>95</v>
      </c>
      <c r="AD2" s="7"/>
      <c r="AE2" s="7"/>
      <c r="AF2" s="7"/>
      <c r="AI2" s="7" t="s">
        <v>70</v>
      </c>
      <c r="AJ2" s="7"/>
      <c r="AK2" s="7"/>
      <c r="AL2" s="7"/>
      <c r="AM2" s="7"/>
      <c r="AQ2" s="32"/>
    </row>
    <row r="3" spans="1:43" ht="18.75" thickTop="1" thickBot="1" x14ac:dyDescent="0.35">
      <c r="A3" s="3" t="s">
        <v>7</v>
      </c>
      <c r="B3" s="9" t="s">
        <v>8</v>
      </c>
      <c r="C3" s="9" t="s">
        <v>9</v>
      </c>
      <c r="D3" s="9" t="s">
        <v>10</v>
      </c>
      <c r="E3" s="2"/>
      <c r="F3" s="3" t="s">
        <v>7</v>
      </c>
      <c r="G3" s="3" t="s">
        <v>8</v>
      </c>
      <c r="H3" s="5" t="s">
        <v>9</v>
      </c>
      <c r="I3" s="5" t="s">
        <v>10</v>
      </c>
      <c r="J3" s="2"/>
      <c r="K3" s="3" t="s">
        <v>7</v>
      </c>
      <c r="L3" s="3" t="s">
        <v>8</v>
      </c>
      <c r="M3" s="5" t="s">
        <v>9</v>
      </c>
      <c r="N3" s="5" t="s">
        <v>10</v>
      </c>
      <c r="O3" s="2"/>
      <c r="P3" s="3" t="s">
        <v>7</v>
      </c>
      <c r="Q3" s="3" t="s">
        <v>8</v>
      </c>
      <c r="R3" s="5" t="s">
        <v>9</v>
      </c>
      <c r="S3" s="5" t="s">
        <v>10</v>
      </c>
      <c r="U3" s="3" t="s">
        <v>34</v>
      </c>
      <c r="W3" s="3" t="s">
        <v>58</v>
      </c>
      <c r="X3" s="3" t="s">
        <v>8</v>
      </c>
      <c r="Y3" s="5" t="s">
        <v>9</v>
      </c>
      <c r="Z3" s="5" t="s">
        <v>10</v>
      </c>
      <c r="AB3" s="2"/>
      <c r="AC3" s="3" t="s">
        <v>34</v>
      </c>
      <c r="AD3" s="3" t="s">
        <v>8</v>
      </c>
      <c r="AE3" s="3" t="s">
        <v>9</v>
      </c>
      <c r="AF3" s="3" t="s">
        <v>10</v>
      </c>
      <c r="AH3" s="2"/>
      <c r="AI3" s="3" t="s">
        <v>34</v>
      </c>
      <c r="AJ3" s="3" t="s">
        <v>58</v>
      </c>
      <c r="AK3" s="3" t="s">
        <v>8</v>
      </c>
      <c r="AL3" s="3" t="s">
        <v>9</v>
      </c>
      <c r="AM3" s="3" t="s">
        <v>10</v>
      </c>
    </row>
    <row r="4" spans="1:43" ht="18" thickTop="1" x14ac:dyDescent="0.3">
      <c r="A4" s="2" t="s">
        <v>33</v>
      </c>
      <c r="B4" s="2">
        <v>0.3</v>
      </c>
      <c r="C4" s="2">
        <v>0.2</v>
      </c>
      <c r="D4" s="2">
        <v>17.3</v>
      </c>
      <c r="E4" s="2"/>
      <c r="F4" s="2" t="s">
        <v>33</v>
      </c>
      <c r="G4" s="2">
        <v>0.3</v>
      </c>
      <c r="H4" s="2">
        <v>0.2</v>
      </c>
      <c r="I4" s="2">
        <v>17.3</v>
      </c>
      <c r="J4" s="2"/>
      <c r="K4" s="2" t="s">
        <v>31</v>
      </c>
      <c r="L4" s="2">
        <v>23</v>
      </c>
      <c r="M4" s="2">
        <v>14</v>
      </c>
      <c r="N4" s="2">
        <v>37</v>
      </c>
      <c r="O4" s="2"/>
      <c r="P4" s="2" t="s">
        <v>33</v>
      </c>
      <c r="Q4" s="2">
        <v>0.3</v>
      </c>
      <c r="R4" s="2">
        <v>0.2</v>
      </c>
      <c r="S4" s="2">
        <v>17.3</v>
      </c>
      <c r="U4" s="2">
        <v>0.25</v>
      </c>
      <c r="W4" s="2" t="s">
        <v>71</v>
      </c>
      <c r="X4" s="2">
        <v>0.3</v>
      </c>
      <c r="Y4" s="2">
        <v>0.2</v>
      </c>
      <c r="Z4" s="2">
        <v>17.3</v>
      </c>
      <c r="AB4" s="22" t="s">
        <v>58</v>
      </c>
      <c r="AC4" s="2">
        <v>1</v>
      </c>
      <c r="AD4" s="2">
        <v>17</v>
      </c>
      <c r="AE4" s="2">
        <v>20</v>
      </c>
      <c r="AF4" s="2">
        <v>47</v>
      </c>
      <c r="AH4" s="22" t="s">
        <v>58</v>
      </c>
      <c r="AI4" s="2"/>
      <c r="AJ4" s="2"/>
      <c r="AK4" s="2"/>
      <c r="AL4" s="2"/>
      <c r="AM4" s="2"/>
    </row>
    <row r="5" spans="1:43" ht="17.25" x14ac:dyDescent="0.3">
      <c r="A5" s="2" t="s">
        <v>49</v>
      </c>
      <c r="B5" s="2">
        <v>4</v>
      </c>
      <c r="C5" s="2">
        <v>0</v>
      </c>
      <c r="D5" s="2">
        <v>4</v>
      </c>
      <c r="E5" s="2"/>
      <c r="F5" s="2" t="s">
        <v>49</v>
      </c>
      <c r="G5" s="2">
        <v>4</v>
      </c>
      <c r="H5" s="2">
        <v>0</v>
      </c>
      <c r="I5" s="2">
        <v>4</v>
      </c>
      <c r="J5" s="2"/>
      <c r="K5" s="2" t="s">
        <v>62</v>
      </c>
      <c r="L5" s="2">
        <v>3.6</v>
      </c>
      <c r="M5" s="2">
        <v>0.3</v>
      </c>
      <c r="N5" s="2">
        <v>6.2</v>
      </c>
      <c r="O5" s="2"/>
      <c r="P5" s="2" t="s">
        <v>27</v>
      </c>
      <c r="Q5" s="2">
        <v>1.6</v>
      </c>
      <c r="R5" s="2">
        <v>0.5</v>
      </c>
      <c r="S5" s="2">
        <v>34.299999999999997</v>
      </c>
      <c r="U5" s="2">
        <v>0.33</v>
      </c>
      <c r="W5" s="2" t="s">
        <v>72</v>
      </c>
      <c r="X5" s="2">
        <v>1.6</v>
      </c>
      <c r="Y5" s="2">
        <v>0.5</v>
      </c>
      <c r="Z5" s="2">
        <v>34.299999999999997</v>
      </c>
      <c r="AB5" s="22" t="s">
        <v>58</v>
      </c>
      <c r="AC5" s="2">
        <v>1</v>
      </c>
      <c r="AD5" s="2">
        <v>3</v>
      </c>
      <c r="AE5" s="2">
        <v>17</v>
      </c>
      <c r="AF5" s="2">
        <v>23</v>
      </c>
      <c r="AH5" s="22" t="s">
        <v>58</v>
      </c>
      <c r="AI5" s="2"/>
      <c r="AJ5" s="2"/>
      <c r="AK5" s="2"/>
      <c r="AL5" s="2"/>
      <c r="AM5" s="2"/>
    </row>
    <row r="6" spans="1:43" ht="17.25" x14ac:dyDescent="0.3">
      <c r="A6" s="2" t="s">
        <v>27</v>
      </c>
      <c r="B6" s="2">
        <v>1.6</v>
      </c>
      <c r="C6" s="2">
        <v>0.5</v>
      </c>
      <c r="D6" s="2">
        <v>34.299999999999997</v>
      </c>
      <c r="E6" s="2"/>
      <c r="F6" s="2" t="s">
        <v>27</v>
      </c>
      <c r="G6" s="2">
        <v>1.6</v>
      </c>
      <c r="H6" s="2">
        <v>0.5</v>
      </c>
      <c r="I6" s="2">
        <v>34.299999999999997</v>
      </c>
      <c r="J6" s="2"/>
      <c r="K6" s="2" t="s">
        <v>49</v>
      </c>
      <c r="L6" s="2">
        <v>4</v>
      </c>
      <c r="M6" s="2">
        <v>0</v>
      </c>
      <c r="N6" s="2">
        <v>4</v>
      </c>
      <c r="O6" s="2"/>
      <c r="P6" s="2" t="s">
        <v>87</v>
      </c>
      <c r="Q6" s="2">
        <v>20</v>
      </c>
      <c r="R6" s="2">
        <v>8</v>
      </c>
      <c r="S6" s="2">
        <v>30</v>
      </c>
      <c r="U6" s="2">
        <v>0.5</v>
      </c>
      <c r="W6" s="2" t="s">
        <v>73</v>
      </c>
      <c r="X6" s="2">
        <v>1.1000000000000001</v>
      </c>
      <c r="Y6" s="2">
        <v>0.5</v>
      </c>
      <c r="Z6" s="2">
        <v>21.4</v>
      </c>
      <c r="AB6" s="22" t="s">
        <v>58</v>
      </c>
      <c r="AC6" s="2">
        <v>1</v>
      </c>
      <c r="AD6" s="42">
        <v>0</v>
      </c>
      <c r="AE6" s="42">
        <v>0</v>
      </c>
      <c r="AF6" s="42">
        <v>44</v>
      </c>
      <c r="AH6" s="22" t="s">
        <v>58</v>
      </c>
      <c r="AI6" s="2"/>
      <c r="AJ6" s="2"/>
      <c r="AK6" s="2"/>
      <c r="AL6" s="2"/>
      <c r="AM6" s="2"/>
    </row>
    <row r="7" spans="1:43" ht="17.25" x14ac:dyDescent="0.3">
      <c r="A7" s="2" t="s">
        <v>107</v>
      </c>
      <c r="B7" s="2">
        <v>9</v>
      </c>
      <c r="C7" s="2">
        <v>1.5</v>
      </c>
      <c r="D7" s="2">
        <v>55</v>
      </c>
      <c r="F7" s="2" t="s">
        <v>44</v>
      </c>
      <c r="G7" s="2">
        <v>56</v>
      </c>
      <c r="H7" s="2">
        <v>8</v>
      </c>
      <c r="I7" s="2">
        <v>336</v>
      </c>
      <c r="K7" s="2" t="s">
        <v>44</v>
      </c>
      <c r="L7" s="2">
        <v>56</v>
      </c>
      <c r="M7" s="2">
        <v>8</v>
      </c>
      <c r="N7" s="2">
        <v>336</v>
      </c>
      <c r="P7" s="2" t="s">
        <v>26</v>
      </c>
      <c r="Q7" s="2">
        <v>20</v>
      </c>
      <c r="R7" s="2">
        <v>9</v>
      </c>
      <c r="S7" s="2">
        <v>30</v>
      </c>
      <c r="U7" s="2">
        <v>0.75</v>
      </c>
      <c r="W7" s="2" t="s">
        <v>74</v>
      </c>
      <c r="X7" s="2">
        <v>0.8</v>
      </c>
      <c r="Y7" s="2">
        <v>0.4</v>
      </c>
      <c r="Z7" s="2">
        <v>28.1</v>
      </c>
      <c r="AB7" s="22" t="s">
        <v>58</v>
      </c>
      <c r="AC7" s="2"/>
      <c r="AD7" s="2"/>
      <c r="AE7" s="2"/>
      <c r="AF7" s="2"/>
      <c r="AH7" s="22" t="s">
        <v>58</v>
      </c>
      <c r="AI7" s="2"/>
      <c r="AJ7" s="2"/>
      <c r="AK7" s="2"/>
      <c r="AL7" s="2"/>
      <c r="AM7" s="2"/>
    </row>
    <row r="8" spans="1:43" ht="17.25" x14ac:dyDescent="0.3">
      <c r="A8" s="2" t="s">
        <v>119</v>
      </c>
      <c r="B8" s="2">
        <v>16</v>
      </c>
      <c r="C8" s="2">
        <v>20</v>
      </c>
      <c r="D8" s="2">
        <v>48</v>
      </c>
      <c r="F8" s="2" t="s">
        <v>25</v>
      </c>
      <c r="G8" s="2">
        <v>42</v>
      </c>
      <c r="H8" s="2">
        <v>18</v>
      </c>
      <c r="I8" s="2">
        <v>13.5</v>
      </c>
      <c r="K8" s="2" t="s">
        <v>30</v>
      </c>
      <c r="L8" s="2">
        <v>10.5</v>
      </c>
      <c r="M8" s="2">
        <v>0</v>
      </c>
      <c r="N8" s="2">
        <v>14</v>
      </c>
      <c r="P8" s="2" t="s">
        <v>105</v>
      </c>
      <c r="Q8" s="2">
        <v>20</v>
      </c>
      <c r="R8" s="2">
        <v>10</v>
      </c>
      <c r="S8" s="2">
        <v>21</v>
      </c>
      <c r="U8" s="2">
        <v>1</v>
      </c>
      <c r="W8" s="2" t="s">
        <v>104</v>
      </c>
      <c r="X8" s="2">
        <v>24</v>
      </c>
      <c r="Y8" s="2">
        <v>1</v>
      </c>
      <c r="Z8" s="2">
        <v>3</v>
      </c>
      <c r="AB8" s="22" t="s">
        <v>58</v>
      </c>
      <c r="AC8" s="2"/>
      <c r="AD8" s="2"/>
      <c r="AE8" s="2"/>
      <c r="AF8" s="2"/>
      <c r="AH8" s="22" t="s">
        <v>58</v>
      </c>
      <c r="AI8" s="2"/>
      <c r="AJ8" s="2"/>
      <c r="AK8" s="2"/>
      <c r="AL8" s="2"/>
      <c r="AM8" s="2"/>
    </row>
    <row r="9" spans="1:43" ht="17.25" x14ac:dyDescent="0.3">
      <c r="A9" s="2" t="s">
        <v>120</v>
      </c>
      <c r="B9" s="2">
        <v>4.8</v>
      </c>
      <c r="C9" s="2">
        <v>3.5</v>
      </c>
      <c r="D9" s="2">
        <v>9.25</v>
      </c>
      <c r="F9" s="2" t="s">
        <v>24</v>
      </c>
      <c r="G9" s="2">
        <v>28</v>
      </c>
      <c r="H9" s="2">
        <v>19</v>
      </c>
      <c r="I9" s="2">
        <v>40</v>
      </c>
      <c r="K9" s="2" t="s">
        <v>67</v>
      </c>
      <c r="L9" s="2">
        <v>15</v>
      </c>
      <c r="M9" s="2">
        <v>39</v>
      </c>
      <c r="N9" s="2">
        <v>30</v>
      </c>
      <c r="P9" s="2" t="s">
        <v>98</v>
      </c>
      <c r="Q9" s="2">
        <v>32.299999999999997</v>
      </c>
      <c r="R9" s="2">
        <v>14.9</v>
      </c>
      <c r="S9" s="2">
        <v>55.3</v>
      </c>
      <c r="U9" s="2">
        <v>1.5</v>
      </c>
      <c r="W9" s="2" t="s">
        <v>75</v>
      </c>
      <c r="X9" s="2">
        <v>1.4</v>
      </c>
      <c r="Y9" s="2">
        <v>0.4</v>
      </c>
      <c r="Z9" s="2">
        <v>15.2</v>
      </c>
      <c r="AB9" s="22" t="s">
        <v>58</v>
      </c>
      <c r="AC9" s="2"/>
      <c r="AD9" s="2"/>
      <c r="AE9" s="2"/>
      <c r="AF9" s="2"/>
      <c r="AH9" s="22" t="s">
        <v>58</v>
      </c>
      <c r="AI9" s="2"/>
      <c r="AJ9" s="2"/>
      <c r="AK9" s="2"/>
      <c r="AL9" s="2"/>
      <c r="AM9" s="2"/>
    </row>
    <row r="10" spans="1:43" ht="18" thickBot="1" x14ac:dyDescent="0.35">
      <c r="A10" s="2" t="s">
        <v>121</v>
      </c>
      <c r="B10" s="2">
        <v>3</v>
      </c>
      <c r="C10" s="2">
        <v>17</v>
      </c>
      <c r="D10" s="2">
        <v>23</v>
      </c>
      <c r="F10" s="2" t="s">
        <v>88</v>
      </c>
      <c r="G10" s="2">
        <v>6</v>
      </c>
      <c r="H10" s="2">
        <v>24</v>
      </c>
      <c r="I10" s="2">
        <v>56</v>
      </c>
      <c r="K10" s="2" t="s">
        <v>50</v>
      </c>
      <c r="L10" s="2">
        <v>25</v>
      </c>
      <c r="M10" s="2">
        <v>1</v>
      </c>
      <c r="N10" s="2">
        <v>0</v>
      </c>
      <c r="P10" s="2" t="s">
        <v>96</v>
      </c>
      <c r="Q10" s="2">
        <v>32.200000000000003</v>
      </c>
      <c r="R10" s="2">
        <v>14.9</v>
      </c>
      <c r="S10" s="2">
        <v>50.4</v>
      </c>
      <c r="U10" s="2">
        <v>2</v>
      </c>
      <c r="W10" s="2" t="s">
        <v>76</v>
      </c>
      <c r="X10" s="2">
        <v>0.9</v>
      </c>
      <c r="Y10" s="2">
        <v>0.2</v>
      </c>
      <c r="Z10" s="2">
        <v>21.6</v>
      </c>
      <c r="AB10" s="22" t="s">
        <v>58</v>
      </c>
      <c r="AC10" s="40"/>
      <c r="AD10" s="23"/>
      <c r="AE10" s="23"/>
      <c r="AF10" s="23"/>
      <c r="AH10" s="41" t="s">
        <v>58</v>
      </c>
      <c r="AI10" s="40"/>
      <c r="AJ10" s="23"/>
      <c r="AK10" s="23"/>
      <c r="AL10" s="23"/>
      <c r="AM10" s="23"/>
    </row>
    <row r="11" spans="1:43" ht="18" thickTop="1" x14ac:dyDescent="0.3">
      <c r="A11" s="2" t="s">
        <v>100</v>
      </c>
      <c r="B11" s="2">
        <v>0</v>
      </c>
      <c r="C11" s="2">
        <v>0</v>
      </c>
      <c r="D11" s="2">
        <v>44</v>
      </c>
      <c r="F11" s="2" t="s">
        <v>55</v>
      </c>
      <c r="G11" s="2">
        <v>5</v>
      </c>
      <c r="H11" s="2">
        <v>18</v>
      </c>
      <c r="I11" s="2">
        <v>43</v>
      </c>
      <c r="K11" s="2" t="s">
        <v>53</v>
      </c>
      <c r="L11" s="2">
        <v>95</v>
      </c>
      <c r="M11" s="2">
        <v>7.5</v>
      </c>
      <c r="N11" s="2">
        <v>5</v>
      </c>
      <c r="P11" s="2" t="s">
        <v>97</v>
      </c>
      <c r="Q11" s="2">
        <v>32.200000000000003</v>
      </c>
      <c r="R11" s="2">
        <v>14.7</v>
      </c>
      <c r="S11" s="2">
        <v>55.4</v>
      </c>
      <c r="U11" s="2">
        <v>3</v>
      </c>
      <c r="W11" s="2" t="s">
        <v>103</v>
      </c>
      <c r="X11" s="2">
        <v>6</v>
      </c>
      <c r="Y11" s="2">
        <v>3.5</v>
      </c>
      <c r="Z11" s="2">
        <v>20</v>
      </c>
      <c r="AB11" s="22" t="s">
        <v>38</v>
      </c>
      <c r="AC11" s="2" t="s">
        <v>61</v>
      </c>
      <c r="AD11" s="2">
        <f>IFERROR(ROUND(($AC$4*AD4) + ($AC$5*AD5) + ($AC$6*AD6) + ($AC$7*AD7) + ($AC$8*AD8) + ($AC$9*AD9) + ($AC$10*AD10),1),0)</f>
        <v>20</v>
      </c>
      <c r="AE11" s="2">
        <f t="shared" ref="AE11:AF11" si="0">IFERROR(ROUND(($AC$4*AE4) + ($AC$5*AE5) + ($AC$6*AE6) + ($AC$7*AE7) + ($AC$8*AE8) + ($AC$9*AE9) + ($AC$10*AE10),1),0)</f>
        <v>37</v>
      </c>
      <c r="AF11" s="2">
        <f t="shared" si="0"/>
        <v>114</v>
      </c>
      <c r="AH11" s="22" t="s">
        <v>38</v>
      </c>
      <c r="AI11" s="2" t="s">
        <v>61</v>
      </c>
      <c r="AJ11" s="2" t="s">
        <v>61</v>
      </c>
      <c r="AK11" s="2">
        <f>ROUND(SUM(AK4:AK10),1)</f>
        <v>0</v>
      </c>
      <c r="AL11" s="2">
        <f>ROUND(SUM(AL4:AL10),1)</f>
        <v>0</v>
      </c>
      <c r="AM11" s="2">
        <f>ROUND(SUM(AM4:AM10),1)</f>
        <v>0</v>
      </c>
    </row>
    <row r="12" spans="1:43" x14ac:dyDescent="0.25">
      <c r="A12" s="2" t="s">
        <v>87</v>
      </c>
      <c r="B12" s="2">
        <v>20</v>
      </c>
      <c r="C12" s="2">
        <v>8</v>
      </c>
      <c r="D12" s="2">
        <v>30</v>
      </c>
      <c r="F12" s="2" t="s">
        <v>89</v>
      </c>
      <c r="G12" s="2">
        <v>0</v>
      </c>
      <c r="H12" s="2">
        <v>0</v>
      </c>
      <c r="I12" s="2">
        <v>65</v>
      </c>
      <c r="K12" s="2" t="s">
        <v>64</v>
      </c>
      <c r="L12" s="2">
        <v>2</v>
      </c>
      <c r="M12" s="2">
        <v>7</v>
      </c>
      <c r="N12" s="2">
        <v>2</v>
      </c>
      <c r="U12" s="2">
        <v>4</v>
      </c>
      <c r="W12" s="2" t="s">
        <v>77</v>
      </c>
      <c r="X12" s="2">
        <v>1</v>
      </c>
      <c r="Y12" s="2">
        <v>0.5</v>
      </c>
      <c r="Z12" s="2">
        <v>11.7</v>
      </c>
    </row>
    <row r="13" spans="1:43" x14ac:dyDescent="0.25">
      <c r="A13" s="2" t="s">
        <v>26</v>
      </c>
      <c r="B13" s="2">
        <v>20</v>
      </c>
      <c r="C13" s="2">
        <v>9</v>
      </c>
      <c r="D13" s="2">
        <v>30</v>
      </c>
      <c r="F13" s="2" t="s">
        <v>100</v>
      </c>
      <c r="G13" s="2">
        <v>0</v>
      </c>
      <c r="H13" s="2">
        <v>0</v>
      </c>
      <c r="I13" s="2">
        <v>44</v>
      </c>
      <c r="K13" s="2" t="s">
        <v>94</v>
      </c>
      <c r="L13" s="2">
        <v>7</v>
      </c>
      <c r="M13" s="2">
        <v>16</v>
      </c>
      <c r="N13" s="2">
        <v>8</v>
      </c>
      <c r="U13" s="2">
        <v>5</v>
      </c>
    </row>
    <row r="14" spans="1:43" x14ac:dyDescent="0.25">
      <c r="A14" s="2" t="s">
        <v>105</v>
      </c>
      <c r="B14" s="2">
        <v>20</v>
      </c>
      <c r="C14" s="2">
        <v>10</v>
      </c>
      <c r="D14" s="2">
        <v>21</v>
      </c>
      <c r="F14" s="2" t="s">
        <v>54</v>
      </c>
      <c r="G14" s="2">
        <v>15</v>
      </c>
      <c r="H14" s="2">
        <v>25</v>
      </c>
      <c r="I14" s="2">
        <v>86</v>
      </c>
      <c r="K14" s="2" t="s">
        <v>29</v>
      </c>
      <c r="L14" s="2">
        <v>7</v>
      </c>
      <c r="M14" s="2">
        <v>4.5</v>
      </c>
      <c r="N14" s="2">
        <v>0</v>
      </c>
    </row>
    <row r="15" spans="1:43" x14ac:dyDescent="0.25">
      <c r="A15" s="2" t="s">
        <v>64</v>
      </c>
      <c r="B15" s="2">
        <v>2</v>
      </c>
      <c r="C15" s="2">
        <v>7</v>
      </c>
      <c r="D15" s="2">
        <v>2</v>
      </c>
      <c r="F15" s="2" t="s">
        <v>64</v>
      </c>
      <c r="G15" s="2">
        <v>2</v>
      </c>
      <c r="H15" s="2">
        <v>7</v>
      </c>
      <c r="I15" s="2">
        <v>2</v>
      </c>
      <c r="K15" s="2" t="s">
        <v>23</v>
      </c>
      <c r="L15" s="2">
        <v>9</v>
      </c>
      <c r="M15" s="2">
        <v>3</v>
      </c>
      <c r="N15" s="2">
        <v>53</v>
      </c>
    </row>
    <row r="16" spans="1:43" x14ac:dyDescent="0.25">
      <c r="A16" s="2" t="s">
        <v>29</v>
      </c>
      <c r="B16" s="2">
        <v>7</v>
      </c>
      <c r="C16" s="2">
        <v>4.5</v>
      </c>
      <c r="D16" s="2">
        <v>0</v>
      </c>
      <c r="F16" s="2" t="s">
        <v>94</v>
      </c>
      <c r="G16" s="2">
        <v>7</v>
      </c>
      <c r="H16" s="2">
        <v>16</v>
      </c>
      <c r="I16" s="2">
        <v>8</v>
      </c>
      <c r="K16" s="2" t="s">
        <v>66</v>
      </c>
      <c r="L16" s="2">
        <v>4</v>
      </c>
      <c r="M16" s="2">
        <v>3</v>
      </c>
      <c r="N16" s="2">
        <v>26</v>
      </c>
    </row>
    <row r="17" spans="1:14" x14ac:dyDescent="0.25">
      <c r="A17" s="2" t="s">
        <v>101</v>
      </c>
      <c r="B17" s="2">
        <v>4</v>
      </c>
      <c r="C17" s="2">
        <v>2.5</v>
      </c>
      <c r="D17" s="2">
        <v>6</v>
      </c>
      <c r="F17" s="2" t="s">
        <v>29</v>
      </c>
      <c r="G17" s="2">
        <v>7</v>
      </c>
      <c r="H17" s="2">
        <v>4.5</v>
      </c>
      <c r="I17" s="2">
        <v>0</v>
      </c>
      <c r="K17" s="2" t="s">
        <v>91</v>
      </c>
      <c r="L17" s="2">
        <v>1</v>
      </c>
      <c r="M17" s="2">
        <v>4</v>
      </c>
      <c r="N17" s="2">
        <v>0</v>
      </c>
    </row>
    <row r="18" spans="1:14" x14ac:dyDescent="0.25">
      <c r="A18" s="2" t="s">
        <v>98</v>
      </c>
      <c r="B18" s="2">
        <v>32.299999999999997</v>
      </c>
      <c r="C18" s="2">
        <v>14.9</v>
      </c>
      <c r="D18" s="2">
        <v>55.3</v>
      </c>
      <c r="F18" s="2" t="s">
        <v>23</v>
      </c>
      <c r="G18" s="2">
        <v>9</v>
      </c>
      <c r="H18" s="2">
        <v>3</v>
      </c>
      <c r="I18" s="2">
        <v>53</v>
      </c>
      <c r="K18" s="2" t="s">
        <v>99</v>
      </c>
      <c r="L18" s="2">
        <v>12</v>
      </c>
      <c r="M18" s="2">
        <v>0</v>
      </c>
      <c r="N18" s="2">
        <v>140</v>
      </c>
    </row>
    <row r="19" spans="1:14" x14ac:dyDescent="0.25">
      <c r="A19" s="2" t="s">
        <v>96</v>
      </c>
      <c r="B19" s="2">
        <v>32.200000000000003</v>
      </c>
      <c r="C19" s="2">
        <v>14.9</v>
      </c>
      <c r="D19" s="2">
        <v>50.4</v>
      </c>
      <c r="F19" s="2" t="s">
        <v>91</v>
      </c>
      <c r="G19" s="2">
        <v>1</v>
      </c>
      <c r="H19" s="2">
        <v>4</v>
      </c>
      <c r="I19" s="2">
        <v>0</v>
      </c>
      <c r="K19" s="2" t="s">
        <v>93</v>
      </c>
      <c r="L19" s="2">
        <v>0</v>
      </c>
      <c r="M19" s="2">
        <v>0</v>
      </c>
      <c r="N19" s="2">
        <v>23</v>
      </c>
    </row>
    <row r="20" spans="1:14" x14ac:dyDescent="0.25">
      <c r="A20" s="2" t="s">
        <v>97</v>
      </c>
      <c r="B20" s="2">
        <v>32.200000000000003</v>
      </c>
      <c r="C20" s="2">
        <v>14.7</v>
      </c>
      <c r="D20" s="2">
        <v>55.4</v>
      </c>
      <c r="F20" s="2" t="s">
        <v>93</v>
      </c>
      <c r="G20" s="2">
        <v>0</v>
      </c>
      <c r="H20" s="2">
        <v>0</v>
      </c>
      <c r="I20" s="2">
        <v>23</v>
      </c>
      <c r="K20" s="2" t="s">
        <v>92</v>
      </c>
      <c r="L20" s="2">
        <v>1</v>
      </c>
      <c r="M20" s="2">
        <v>0.2</v>
      </c>
      <c r="N20" s="2">
        <v>7.6</v>
      </c>
    </row>
    <row r="21" spans="1:14" x14ac:dyDescent="0.25">
      <c r="A21" s="2" t="s">
        <v>102</v>
      </c>
      <c r="B21" s="2">
        <v>7.5</v>
      </c>
      <c r="C21" s="2">
        <v>0.75</v>
      </c>
      <c r="D21" s="2">
        <v>19.5</v>
      </c>
      <c r="F21" s="2" t="s">
        <v>92</v>
      </c>
      <c r="G21" s="2">
        <v>1</v>
      </c>
      <c r="H21" s="2">
        <v>0.2</v>
      </c>
      <c r="I21" s="2">
        <v>7.6</v>
      </c>
      <c r="K21" s="2" t="s">
        <v>45</v>
      </c>
      <c r="L21" s="2">
        <v>84</v>
      </c>
      <c r="M21" s="2">
        <v>68</v>
      </c>
      <c r="N21" s="2">
        <v>0</v>
      </c>
    </row>
    <row r="22" spans="1:14" x14ac:dyDescent="0.25">
      <c r="A22" s="2" t="s">
        <v>57</v>
      </c>
      <c r="B22" s="2">
        <v>0</v>
      </c>
      <c r="C22" s="2">
        <v>0.75</v>
      </c>
      <c r="D22" s="2">
        <v>11.5</v>
      </c>
      <c r="F22" s="2" t="s">
        <v>45</v>
      </c>
      <c r="G22" s="2">
        <v>84</v>
      </c>
      <c r="H22" s="2">
        <v>68</v>
      </c>
      <c r="I22" s="2">
        <v>0</v>
      </c>
      <c r="K22" s="2" t="s">
        <v>51</v>
      </c>
      <c r="L22" s="2">
        <v>72</v>
      </c>
      <c r="M22" s="2">
        <v>24</v>
      </c>
      <c r="N22" s="2">
        <v>16</v>
      </c>
    </row>
    <row r="23" spans="1:14" x14ac:dyDescent="0.25">
      <c r="F23" s="2" t="s">
        <v>51</v>
      </c>
      <c r="G23" s="2">
        <v>72</v>
      </c>
      <c r="H23" s="2">
        <v>16</v>
      </c>
      <c r="I23" s="2">
        <v>24</v>
      </c>
      <c r="K23" s="2" t="s">
        <v>22</v>
      </c>
      <c r="L23" s="2">
        <v>4.5</v>
      </c>
      <c r="M23" s="2">
        <v>2</v>
      </c>
      <c r="N23" s="2">
        <v>18</v>
      </c>
    </row>
    <row r="24" spans="1:14" x14ac:dyDescent="0.25">
      <c r="F24" s="2" t="s">
        <v>22</v>
      </c>
      <c r="G24" s="2">
        <v>4.5</v>
      </c>
      <c r="H24" s="2">
        <v>2</v>
      </c>
      <c r="I24" s="2">
        <v>18</v>
      </c>
      <c r="K24" s="2" t="s">
        <v>56</v>
      </c>
      <c r="L24" s="2">
        <v>10</v>
      </c>
      <c r="M24" s="2">
        <v>12.5</v>
      </c>
      <c r="N24" s="2">
        <v>65</v>
      </c>
    </row>
    <row r="25" spans="1:14" x14ac:dyDescent="0.25">
      <c r="F25" s="2" t="s">
        <v>60</v>
      </c>
      <c r="G25" s="2">
        <v>212.5</v>
      </c>
      <c r="H25" s="2">
        <v>72.5</v>
      </c>
      <c r="I25" s="2">
        <v>0</v>
      </c>
      <c r="K25" s="2" t="s">
        <v>60</v>
      </c>
      <c r="L25" s="2">
        <v>212.5</v>
      </c>
      <c r="M25" s="2">
        <v>72.5</v>
      </c>
      <c r="N25" s="2">
        <v>0</v>
      </c>
    </row>
    <row r="26" spans="1:14" x14ac:dyDescent="0.25">
      <c r="F26" s="2" t="s">
        <v>28</v>
      </c>
      <c r="G26" s="2">
        <v>70</v>
      </c>
      <c r="H26" s="2">
        <v>100</v>
      </c>
      <c r="I26" s="2">
        <v>120</v>
      </c>
      <c r="K26" s="2" t="s">
        <v>65</v>
      </c>
      <c r="L26" s="2">
        <v>14</v>
      </c>
      <c r="M26" s="2">
        <v>18</v>
      </c>
      <c r="N26" s="2">
        <v>2</v>
      </c>
    </row>
    <row r="27" spans="1:14" x14ac:dyDescent="0.25">
      <c r="F27" s="2" t="s">
        <v>90</v>
      </c>
      <c r="G27" s="2">
        <v>4</v>
      </c>
      <c r="H27" s="2">
        <v>6</v>
      </c>
      <c r="I27" s="2">
        <v>0</v>
      </c>
      <c r="K27" s="2" t="s">
        <v>28</v>
      </c>
      <c r="L27" s="2">
        <v>70</v>
      </c>
      <c r="M27" s="2">
        <v>100</v>
      </c>
      <c r="N27" s="2">
        <v>120</v>
      </c>
    </row>
    <row r="28" spans="1:14" x14ac:dyDescent="0.25">
      <c r="F28" s="2" t="s">
        <v>52</v>
      </c>
      <c r="G28" s="2">
        <v>80</v>
      </c>
      <c r="H28" s="2">
        <v>8</v>
      </c>
      <c r="I28" s="2">
        <v>16</v>
      </c>
      <c r="K28" s="2" t="s">
        <v>63</v>
      </c>
      <c r="L28" s="2">
        <v>24</v>
      </c>
      <c r="M28" s="2">
        <v>6</v>
      </c>
      <c r="N28" s="2">
        <v>0</v>
      </c>
    </row>
    <row r="29" spans="1:14" x14ac:dyDescent="0.25">
      <c r="F29" s="2" t="s">
        <v>79</v>
      </c>
      <c r="G29" s="2">
        <v>12</v>
      </c>
      <c r="H29" s="2">
        <v>0</v>
      </c>
      <c r="I29" s="2">
        <v>140</v>
      </c>
      <c r="K29" s="2" t="s">
        <v>32</v>
      </c>
      <c r="L29" s="2">
        <v>9</v>
      </c>
      <c r="M29" s="2">
        <v>0</v>
      </c>
      <c r="N29" s="2">
        <v>45</v>
      </c>
    </row>
    <row r="30" spans="1:14" x14ac:dyDescent="0.25">
      <c r="F30" s="2" t="s">
        <v>57</v>
      </c>
      <c r="G30" s="2">
        <v>3</v>
      </c>
      <c r="H30" s="2">
        <v>0.75</v>
      </c>
      <c r="I30" s="2">
        <v>11.5</v>
      </c>
      <c r="K30" s="2" t="s">
        <v>68</v>
      </c>
      <c r="L30" s="2">
        <v>3</v>
      </c>
      <c r="M30" s="2">
        <v>9</v>
      </c>
      <c r="N30" s="2">
        <v>16</v>
      </c>
    </row>
    <row r="31" spans="1:14" x14ac:dyDescent="0.25">
      <c r="K31" s="2" t="s">
        <v>79</v>
      </c>
      <c r="L31" s="2">
        <v>12</v>
      </c>
      <c r="M31" s="2">
        <v>0</v>
      </c>
      <c r="N31" s="2">
        <v>140</v>
      </c>
    </row>
    <row r="32" spans="1:14" x14ac:dyDescent="0.25">
      <c r="K32" s="2" t="s">
        <v>57</v>
      </c>
      <c r="L32" s="2">
        <v>3</v>
      </c>
      <c r="M32" s="2">
        <v>0.75</v>
      </c>
      <c r="N32" s="2">
        <v>11.5</v>
      </c>
    </row>
  </sheetData>
  <sortState xmlns:xlrd2="http://schemas.microsoft.com/office/spreadsheetml/2017/richdata2" ref="A4:D22">
    <sortCondition ref="A4"/>
  </sortState>
  <dataValidations count="2">
    <dataValidation type="list" allowBlank="1" showInputMessage="1" showErrorMessage="1" sqref="AC4:AC10 AI4:AI10" xr:uid="{4BF18414-E270-4673-B7DC-541573419444}">
      <formula1 xml:space="preserve"> AmountRange</formula1>
    </dataValidation>
    <dataValidation type="list" allowBlank="1" showInputMessage="1" showErrorMessage="1" sqref="AJ4:AJ10" xr:uid="{B253E376-741C-40D6-BCE1-EA88C7FD695D}">
      <formula1 xml:space="preserve"> SmoothieIngredientRange</formula1>
    </dataValidation>
  </dataValidations>
  <pageMargins left="0.7" right="0.7" top="0.75" bottom="0.75" header="0.3" footer="0.3"/>
  <pageSetup orientation="portrait" r:id="rId1"/>
  <tableParts count="6">
    <tablePart r:id="rId2"/>
    <tablePart r:id="rId3"/>
    <tablePart r:id="rId4"/>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69B4A-A7A3-408C-A210-01988E9E6F2C}">
  <sheetPr codeName="Sheet6"/>
  <dimension ref="A1:L120"/>
  <sheetViews>
    <sheetView workbookViewId="0">
      <selection activeCell="L28" sqref="L28"/>
    </sheetView>
  </sheetViews>
  <sheetFormatPr defaultRowHeight="15" x14ac:dyDescent="0.25"/>
  <cols>
    <col min="1" max="9" width="20.7109375" customWidth="1"/>
    <col min="11" max="12" width="20.7109375" customWidth="1"/>
  </cols>
  <sheetData>
    <row r="1" spans="1:9" ht="23.25" x14ac:dyDescent="0.35">
      <c r="A1" s="6" t="s">
        <v>80</v>
      </c>
    </row>
    <row r="3" spans="1:9" ht="20.25" thickBot="1" x14ac:dyDescent="0.35">
      <c r="A3" s="7" t="s">
        <v>81</v>
      </c>
    </row>
    <row r="4" spans="1:9" ht="18.75" thickTop="1" thickBot="1" x14ac:dyDescent="0.35">
      <c r="A4" s="3" t="s">
        <v>82</v>
      </c>
      <c r="B4" s="3" t="s">
        <v>36</v>
      </c>
      <c r="C4" s="3" t="s">
        <v>8</v>
      </c>
      <c r="D4" s="5" t="s">
        <v>9</v>
      </c>
      <c r="E4" s="5" t="s">
        <v>10</v>
      </c>
      <c r="F4" s="3" t="s">
        <v>83</v>
      </c>
      <c r="G4" s="3" t="s">
        <v>84</v>
      </c>
      <c r="H4" s="5" t="s">
        <v>85</v>
      </c>
      <c r="I4" s="5" t="s">
        <v>86</v>
      </c>
    </row>
    <row r="5" spans="1:9" ht="15.75" thickTop="1" x14ac:dyDescent="0.25">
      <c r="A5" s="4">
        <f>IFERROR(INDEX(January!$A$3:$A$173,(ROWS(A$5:A$5) *10)-9),"")</f>
        <v>43479</v>
      </c>
      <c r="B5" s="2" t="str">
        <f>IFERROR(INDEX(January!$C$5:$C$175,(ROWS(B$5:B5) *10)-9),"")</f>
        <v>3282/2256.4</v>
      </c>
      <c r="C5" s="2" t="str">
        <f>IFERROR(INDEX(January!$D$5:$D$175,(ROWS(B$5:B5) *10)-9),"")</f>
        <v>167.2/125</v>
      </c>
      <c r="D5" s="2" t="str">
        <f>IFERROR(INDEX(January!$E$5:$E$175,(ROWS(C$5:C5) *10)-9),"")</f>
        <v>124.4/63</v>
      </c>
      <c r="E5" s="2" t="str">
        <f>IFERROR(INDEX(January!$F$5:$F$175,(ROWS(C$5:C5) *10)-9),"")</f>
        <v>373.4/297</v>
      </c>
      <c r="F5" s="39">
        <f>(LEFT(B5,SEARCH("/",B5,1)-1))/(RIGHT(B5,LEN(B5)-FIND("/",B5)))</f>
        <v>1.4545293387697216</v>
      </c>
      <c r="G5" s="39">
        <f>(LEFT(C5,SEARCH("/",C5,1)-1))/(RIGHT(C5,LEN(C5)-FIND("/",C5)))</f>
        <v>1.3375999999999999</v>
      </c>
      <c r="H5" s="39">
        <f>(LEFT(D5,SEARCH("/",D5,1)-1))/(RIGHT(D5,LEN(D5)-FIND("/",D5)))</f>
        <v>1.9746031746031747</v>
      </c>
      <c r="I5" s="39">
        <f>(LEFT(E5,SEARCH("/",E5,1)-1))/(RIGHT(E5,LEN(E5)-FIND("/",E5)))</f>
        <v>1.2572390572390573</v>
      </c>
    </row>
    <row r="6" spans="1:9" x14ac:dyDescent="0.25">
      <c r="A6" s="4">
        <f>IFERROR(INDEX(January!$A$3:$A$173,(ROWS(A$5:A6) *10)-9),"")</f>
        <v>43480</v>
      </c>
      <c r="B6" s="2" t="str">
        <f>IFERROR(INDEX(January!$C$5:$C$175,(ROWS(B$5:B6) *10)-9),"")</f>
        <v>1104.2/2256.4</v>
      </c>
      <c r="C6" s="2" t="str">
        <f>IFERROR(INDEX(January!$D$5:$D$175,(ROWS(B$5:B6) *10)-9),"")</f>
        <v>60.3/125</v>
      </c>
      <c r="D6" s="2" t="str">
        <f>IFERROR(INDEX(January!$E$5:$E$175,(ROWS(C$5:C6) *10)-9),"")</f>
        <v>24.2/63</v>
      </c>
      <c r="E6" s="2" t="str">
        <f>IFERROR(INDEX(January!$F$5:$F$175,(ROWS(C$5:C6) *10)-9),"")</f>
        <v>161.3/297</v>
      </c>
      <c r="F6" s="39">
        <f t="shared" ref="F6:F22" si="0">(LEFT(B6,SEARCH("/",B6,1)-1))/(RIGHT(B6,LEN(B6)-FIND("/",B6)))</f>
        <v>0.48936358801630919</v>
      </c>
      <c r="G6" s="39">
        <f t="shared" ref="G6:G22" si="1">(LEFT(C6,SEARCH("/",C6,1)-1))/(RIGHT(C6,LEN(C6)-FIND("/",C6)))</f>
        <v>0.4824</v>
      </c>
      <c r="H6" s="39">
        <f t="shared" ref="H6:H22" si="2">(LEFT(D6,SEARCH("/",D6,1)-1))/(RIGHT(D6,LEN(D6)-FIND("/",D6)))</f>
        <v>0.38412698412698409</v>
      </c>
      <c r="I6" s="39">
        <f t="shared" ref="I6:I22" si="3">(LEFT(E6,SEARCH("/",E6,1)-1))/(RIGHT(E6,LEN(E6)-FIND("/",E6)))</f>
        <v>0.54309764309764319</v>
      </c>
    </row>
    <row r="7" spans="1:9" x14ac:dyDescent="0.25">
      <c r="A7" s="4">
        <f>IFERROR(INDEX(January!$A$3:$A$173,(ROWS(A$5:A7) *10)-9),"")</f>
        <v>43481</v>
      </c>
      <c r="B7" s="2" t="str">
        <f>IFERROR(INDEX(January!$C$5:$C$175,(ROWS(B$5:B7) *10)-9),"")</f>
        <v>2388.5/2256.4</v>
      </c>
      <c r="C7" s="2" t="str">
        <f>IFERROR(INDEX(January!$D$5:$D$175,(ROWS(B$5:B7) *10)-9),"")</f>
        <v>129.7/125</v>
      </c>
      <c r="D7" s="2" t="str">
        <f>IFERROR(INDEX(January!$E$5:$E$175,(ROWS(C$5:C7) *10)-9),"")</f>
        <v>86.9/63</v>
      </c>
      <c r="E7" s="2" t="str">
        <f>IFERROR(INDEX(January!$F$5:$F$175,(ROWS(C$5:C7) *10)-9),"")</f>
        <v>271.9/297</v>
      </c>
      <c r="F7" s="39">
        <f t="shared" si="0"/>
        <v>1.058544584293565</v>
      </c>
      <c r="G7" s="39">
        <f t="shared" si="1"/>
        <v>1.0375999999999999</v>
      </c>
      <c r="H7" s="39">
        <f t="shared" si="2"/>
        <v>1.3793650793650793</v>
      </c>
      <c r="I7" s="39">
        <f t="shared" si="3"/>
        <v>0.91548821548821546</v>
      </c>
    </row>
    <row r="8" spans="1:9" x14ac:dyDescent="0.25">
      <c r="A8" s="4">
        <f>IFERROR(INDEX(January!$A$3:$A$173,(ROWS(A$5:A8) *10)-9),"")</f>
        <v>43482</v>
      </c>
      <c r="B8" s="2" t="str">
        <f>IFERROR(INDEX(January!$C$5:$C$175,(ROWS(B$5:B8) *10)-9),"")</f>
        <v>1282.47/2256.4</v>
      </c>
      <c r="C8" s="2" t="str">
        <f>IFERROR(INDEX(January!$D$5:$D$175,(ROWS(B$5:B8) *10)-9),"")</f>
        <v>140.41/125</v>
      </c>
      <c r="D8" s="2" t="str">
        <f>IFERROR(INDEX(January!$E$5:$E$175,(ROWS(C$5:C8) *10)-9),"")</f>
        <v>32.67/63</v>
      </c>
      <c r="E8" s="2" t="str">
        <f>IFERROR(INDEX(January!$F$5:$F$175,(ROWS(C$5:C8) *10)-9),"")</f>
        <v>106.7/297</v>
      </c>
      <c r="F8" s="39">
        <f t="shared" si="0"/>
        <v>0.56836996986349941</v>
      </c>
      <c r="G8" s="39">
        <f t="shared" si="1"/>
        <v>1.1232800000000001</v>
      </c>
      <c r="H8" s="39">
        <f t="shared" si="2"/>
        <v>0.51857142857142857</v>
      </c>
      <c r="I8" s="39">
        <f t="shared" si="3"/>
        <v>0.35925925925925928</v>
      </c>
    </row>
    <row r="9" spans="1:9" x14ac:dyDescent="0.25">
      <c r="A9" s="4">
        <f>IFERROR(INDEX(January!$A$3:$A$173,(ROWS(A$5:A9) *10)-9),"")</f>
        <v>43483</v>
      </c>
      <c r="B9" s="2" t="str">
        <f>IFERROR(INDEX(January!$C$5:$C$175,(ROWS(B$5:B9) *10)-9),"")</f>
        <v>1319/2256.4</v>
      </c>
      <c r="C9" s="2" t="str">
        <f>IFERROR(INDEX(January!$D$5:$D$175,(ROWS(B$5:B9) *10)-9),"")</f>
        <v>89/125</v>
      </c>
      <c r="D9" s="2" t="str">
        <f>IFERROR(INDEX(January!$E$5:$E$175,(ROWS(C$5:C9) *10)-9),"")</f>
        <v>53/63</v>
      </c>
      <c r="E9" s="2" t="str">
        <f>IFERROR(INDEX(January!$F$5:$F$175,(ROWS(C$5:C9) *10)-9),"")</f>
        <v>121.5/297</v>
      </c>
      <c r="F9" s="39">
        <f t="shared" si="0"/>
        <v>0.58455947527034213</v>
      </c>
      <c r="G9" s="39">
        <f t="shared" si="1"/>
        <v>0.71199999999999997</v>
      </c>
      <c r="H9" s="39">
        <f t="shared" si="2"/>
        <v>0.84126984126984128</v>
      </c>
      <c r="I9" s="39">
        <f t="shared" si="3"/>
        <v>0.40909090909090912</v>
      </c>
    </row>
    <row r="10" spans="1:9" x14ac:dyDescent="0.25">
      <c r="A10" s="4">
        <f>IFERROR(INDEX(January!$A$3:$A$173,(ROWS(A$5:A10) *10)-9),"")</f>
        <v>43484</v>
      </c>
      <c r="B10" s="2" t="str">
        <f>IFERROR(INDEX(January!$C$5:$C$175,(ROWS(B$5:B10) *10)-9),"")</f>
        <v>1117.7/2256.4</v>
      </c>
      <c r="C10" s="2" t="str">
        <f>IFERROR(INDEX(January!$D$5:$D$175,(ROWS(B$5:B10) *10)-9),"")</f>
        <v>95.7/125</v>
      </c>
      <c r="D10" s="2" t="str">
        <f>IFERROR(INDEX(January!$E$5:$E$175,(ROWS(C$5:C10) *10)-9),"")</f>
        <v>33.7/63</v>
      </c>
      <c r="E10" s="2" t="str">
        <f>IFERROR(INDEX(January!$F$5:$F$175,(ROWS(C$5:C10) *10)-9),"")</f>
        <v>107.9/297</v>
      </c>
      <c r="F10" s="39">
        <f t="shared" si="0"/>
        <v>0.49534656975713526</v>
      </c>
      <c r="G10" s="39">
        <f t="shared" si="1"/>
        <v>0.76560000000000006</v>
      </c>
      <c r="H10" s="39">
        <f t="shared" si="2"/>
        <v>0.53492063492063502</v>
      </c>
      <c r="I10" s="39">
        <f t="shared" si="3"/>
        <v>0.36329966329966334</v>
      </c>
    </row>
    <row r="11" spans="1:9" x14ac:dyDescent="0.25">
      <c r="A11" s="4">
        <f>IFERROR(INDEX(January!$A$3:$A$173,(ROWS(A$5:A11) *10)-9),"")</f>
        <v>43485</v>
      </c>
      <c r="B11" s="2" t="str">
        <f>IFERROR(INDEX(January!$C$5:$C$175,(ROWS(B$5:B11) *10)-9),"")</f>
        <v>1011/2256.4</v>
      </c>
      <c r="C11" s="2" t="str">
        <f>IFERROR(INDEX(January!$D$5:$D$175,(ROWS(B$5:B11) *10)-9),"")</f>
        <v>80/125</v>
      </c>
      <c r="D11" s="2" t="str">
        <f>IFERROR(INDEX(January!$E$5:$E$175,(ROWS(C$5:C11) *10)-9),"")</f>
        <v>31/63</v>
      </c>
      <c r="E11" s="2" t="str">
        <f>IFERROR(INDEX(January!$F$5:$F$175,(ROWS(C$5:C11) *10)-9),"")</f>
        <v>103/297</v>
      </c>
      <c r="F11" s="39">
        <f t="shared" si="0"/>
        <v>0.44805885481297641</v>
      </c>
      <c r="G11" s="39">
        <f t="shared" si="1"/>
        <v>0.64</v>
      </c>
      <c r="H11" s="39">
        <f t="shared" si="2"/>
        <v>0.49206349206349204</v>
      </c>
      <c r="I11" s="39">
        <f t="shared" si="3"/>
        <v>0.34680134680134678</v>
      </c>
    </row>
    <row r="12" spans="1:9" x14ac:dyDescent="0.25">
      <c r="A12" s="4">
        <f>IFERROR(INDEX(January!$A$3:$A$173,(ROWS(A$5:A12) *10)-9),"")</f>
        <v>43486</v>
      </c>
      <c r="B12" s="2" t="str">
        <f>IFERROR(INDEX(January!$C$5:$C$175,(ROWS(B$5:B12) *10)-9),"")</f>
        <v>2342.59/2227.6</v>
      </c>
      <c r="C12" s="2" t="str">
        <f>IFERROR(INDEX(January!$D$5:$D$175,(ROWS(B$5:B12) *10)-9),"")</f>
        <v>207.31/124</v>
      </c>
      <c r="D12" s="2" t="str">
        <f>IFERROR(INDEX(January!$E$5:$E$175,(ROWS(C$5:C12) *10)-9),"")</f>
        <v>79.43/62</v>
      </c>
      <c r="E12" s="2" t="str">
        <f>IFERROR(INDEX(January!$F$5:$F$175,(ROWS(C$5:C12) *10)-9),"")</f>
        <v>199.62/293</v>
      </c>
      <c r="F12" s="39">
        <f t="shared" si="0"/>
        <v>1.0516205782007544</v>
      </c>
      <c r="G12" s="39">
        <f t="shared" si="1"/>
        <v>1.6718548387096774</v>
      </c>
      <c r="H12" s="39">
        <f t="shared" si="2"/>
        <v>1.2811290322580646</v>
      </c>
      <c r="I12" s="39">
        <f t="shared" si="3"/>
        <v>0.6812969283276451</v>
      </c>
    </row>
    <row r="13" spans="1:9" x14ac:dyDescent="0.25">
      <c r="A13" s="4">
        <f>IFERROR(INDEX(January!$A$3:$A$173,(ROWS(A$5:A13) *10)-9),"")</f>
        <v>43487</v>
      </c>
      <c r="B13" s="2" t="str">
        <f>IFERROR(INDEX(January!$C$5:$C$175,(ROWS(B$5:B13) *10)-9),"")</f>
        <v>2469.025/2227.6</v>
      </c>
      <c r="C13" s="2" t="str">
        <f>IFERROR(INDEX(January!$D$5:$D$175,(ROWS(B$5:B13) *10)-9),"")</f>
        <v>196.725/124</v>
      </c>
      <c r="D13" s="2" t="str">
        <f>IFERROR(INDEX(January!$E$5:$E$175,(ROWS(C$5:C13) *10)-9),"")</f>
        <v>95.525/62</v>
      </c>
      <c r="E13" s="2" t="str">
        <f>IFERROR(INDEX(January!$F$5:$F$175,(ROWS(C$5:C13) *10)-9),"")</f>
        <v>205.6/293</v>
      </c>
      <c r="F13" s="39">
        <f t="shared" si="0"/>
        <v>1.1083789728856168</v>
      </c>
      <c r="G13" s="39">
        <f t="shared" si="1"/>
        <v>1.5864919354838709</v>
      </c>
      <c r="H13" s="39">
        <f t="shared" si="2"/>
        <v>1.5407258064516129</v>
      </c>
      <c r="I13" s="39">
        <f t="shared" si="3"/>
        <v>0.70170648464163821</v>
      </c>
    </row>
    <row r="14" spans="1:9" x14ac:dyDescent="0.25">
      <c r="A14" s="4">
        <f>IFERROR(INDEX(January!$A$3:$A$173,(ROWS(A$5:A14) *10)-9),"")</f>
        <v>43488</v>
      </c>
      <c r="B14" s="2" t="str">
        <f>IFERROR(INDEX(January!$C$5:$C$175,(ROWS(B$5:B14) *10)-9),"")</f>
        <v>3010.1/2227.6</v>
      </c>
      <c r="C14" s="2" t="str">
        <f>IFERROR(INDEX(January!$D$5:$D$175,(ROWS(B$5:B14) *10)-9),"")</f>
        <v>142.5/124</v>
      </c>
      <c r="D14" s="2" t="str">
        <f>IFERROR(INDEX(January!$E$5:$E$175,(ROWS(C$5:C14) *10)-9),"")</f>
        <v>132.1/62</v>
      </c>
      <c r="E14" s="2" t="str">
        <f>IFERROR(INDEX(January!$F$5:$F$175,(ROWS(C$5:C14) *10)-9),"")</f>
        <v>312.8/293</v>
      </c>
      <c r="F14" s="39">
        <f t="shared" si="0"/>
        <v>1.3512749147064105</v>
      </c>
      <c r="G14" s="39">
        <f t="shared" si="1"/>
        <v>1.1491935483870968</v>
      </c>
      <c r="H14" s="39">
        <f t="shared" si="2"/>
        <v>2.1306451612903223</v>
      </c>
      <c r="I14" s="39">
        <f t="shared" si="3"/>
        <v>1.0675767918088737</v>
      </c>
    </row>
    <row r="15" spans="1:9" x14ac:dyDescent="0.25">
      <c r="A15" s="4">
        <f>IFERROR(INDEX(January!$A$3:$A$173,(ROWS(A$5:A15) *10)-9),"")</f>
        <v>43489</v>
      </c>
      <c r="B15" s="2" t="str">
        <f>IFERROR(INDEX(January!$C$5:$C$175,(ROWS(B$5:B15) *10)-9),"")</f>
        <v>1592.3/2227.6</v>
      </c>
      <c r="C15" s="2" t="str">
        <f>IFERROR(INDEX(January!$D$5:$D$175,(ROWS(B$5:B15) *10)-9),"")</f>
        <v>129.3/124</v>
      </c>
      <c r="D15" s="2" t="str">
        <f>IFERROR(INDEX(January!$E$5:$E$175,(ROWS(C$5:C15) *10)-9),"")</f>
        <v>40.7/62</v>
      </c>
      <c r="E15" s="2" t="str">
        <f>IFERROR(INDEX(January!$F$5:$F$175,(ROWS(C$5:C15) *10)-9),"")</f>
        <v>177.2/293</v>
      </c>
      <c r="F15" s="39">
        <f t="shared" si="0"/>
        <v>0.71480517148500633</v>
      </c>
      <c r="G15" s="39">
        <f t="shared" si="1"/>
        <v>1.042741935483871</v>
      </c>
      <c r="H15" s="39">
        <f t="shared" si="2"/>
        <v>0.65645161290322585</v>
      </c>
      <c r="I15" s="39">
        <f t="shared" si="3"/>
        <v>0.60477815699658699</v>
      </c>
    </row>
    <row r="16" spans="1:9" x14ac:dyDescent="0.25">
      <c r="A16" s="4">
        <f>IFERROR(INDEX(January!$A$3:$A$173,(ROWS(A$5:A16) *10)-9),"")</f>
        <v>43490</v>
      </c>
      <c r="B16" s="2" t="str">
        <f>IFERROR(INDEX(January!$C$5:$C$175,(ROWS(B$5:B16) *10)-9),"")</f>
        <v>2239/2227.6</v>
      </c>
      <c r="C16" s="2" t="str">
        <f>IFERROR(INDEX(January!$D$5:$D$175,(ROWS(B$5:B16) *10)-9),"")</f>
        <v>118/124</v>
      </c>
      <c r="D16" s="2" t="str">
        <f>IFERROR(INDEX(January!$E$5:$E$175,(ROWS(C$5:C16) *10)-9),"")</f>
        <v>86.6/62</v>
      </c>
      <c r="E16" s="2" t="str">
        <f>IFERROR(INDEX(January!$F$5:$F$175,(ROWS(C$5:C16) *10)-9),"")</f>
        <v>246.9/293</v>
      </c>
      <c r="F16" s="39">
        <f t="shared" si="0"/>
        <v>1.0051176153708028</v>
      </c>
      <c r="G16" s="39">
        <f t="shared" si="1"/>
        <v>0.95161290322580649</v>
      </c>
      <c r="H16" s="39">
        <f t="shared" si="2"/>
        <v>1.3967741935483871</v>
      </c>
      <c r="I16" s="39">
        <f t="shared" si="3"/>
        <v>0.84266211604095564</v>
      </c>
    </row>
    <row r="17" spans="1:12" x14ac:dyDescent="0.25">
      <c r="A17" s="4">
        <f>IFERROR(INDEX(January!$A$3:$A$173,(ROWS(A$5:A17) *10)-9),"")</f>
        <v>43491</v>
      </c>
      <c r="B17" s="2" t="str">
        <f>IFERROR(INDEX(January!$C$5:$C$175,(ROWS(B$5:B17) *10)-9),"")</f>
        <v>2766.7/2227.6</v>
      </c>
      <c r="C17" s="2" t="str">
        <f>IFERROR(INDEX(January!$D$5:$D$175,(ROWS(B$5:B17) *10)-9),"")</f>
        <v>154.4/124</v>
      </c>
      <c r="D17" s="2" t="str">
        <f>IFERROR(INDEX(January!$E$5:$E$175,(ROWS(C$5:C17) *10)-9),"")</f>
        <v>105.9/62</v>
      </c>
      <c r="E17" s="2" t="str">
        <f>IFERROR(INDEX(January!$F$5:$F$175,(ROWS(C$5:C17) *10)-9),"")</f>
        <v>299/293</v>
      </c>
      <c r="F17" s="39">
        <f t="shared" si="0"/>
        <v>1.2420093374034835</v>
      </c>
      <c r="G17" s="39">
        <f t="shared" si="1"/>
        <v>1.2451612903225806</v>
      </c>
      <c r="H17" s="39">
        <f t="shared" si="2"/>
        <v>1.7080645161290324</v>
      </c>
      <c r="I17" s="39">
        <f t="shared" si="3"/>
        <v>1.0204778156996588</v>
      </c>
    </row>
    <row r="18" spans="1:12" x14ac:dyDescent="0.25">
      <c r="A18" s="4">
        <f>IFERROR(INDEX(January!$A$3:$A$173,(ROWS(A$5:A18) *10)-9),"")</f>
        <v>43492</v>
      </c>
      <c r="B18" s="2" t="str">
        <f>IFERROR(INDEX(January!$C$5:$C$175,(ROWS(B$5:B18) *10)-9),"")</f>
        <v>2831.25/2227.6</v>
      </c>
      <c r="C18" s="2" t="str">
        <f>IFERROR(INDEX(January!$D$5:$D$175,(ROWS(B$5:B18) *10)-9),"")</f>
        <v>153/124</v>
      </c>
      <c r="D18" s="2" t="str">
        <f>IFERROR(INDEX(January!$E$5:$E$175,(ROWS(C$5:C18) *10)-9),"")</f>
        <v>123.25/62</v>
      </c>
      <c r="E18" s="2" t="str">
        <f>IFERROR(INDEX(January!$F$5:$F$175,(ROWS(C$5:C18) *10)-9),"")</f>
        <v>277.5/293</v>
      </c>
      <c r="F18" s="39">
        <f t="shared" si="0"/>
        <v>1.2709867121565812</v>
      </c>
      <c r="G18" s="39">
        <f t="shared" si="1"/>
        <v>1.2338709677419355</v>
      </c>
      <c r="H18" s="39">
        <f t="shared" si="2"/>
        <v>1.9879032258064515</v>
      </c>
      <c r="I18" s="39">
        <f t="shared" si="3"/>
        <v>0.94709897610921501</v>
      </c>
    </row>
    <row r="19" spans="1:12" x14ac:dyDescent="0.25">
      <c r="A19" s="4">
        <f>IFERROR(INDEX(January!$A$3:$A$173,(ROWS(A$5:A19) *10)-9),"")</f>
        <v>43493</v>
      </c>
      <c r="B19" s="2" t="str">
        <f>IFERROR(INDEX(January!$C$5:$C$175,(ROWS(B$5:B19) *10)-9),"")</f>
        <v>1931.2/2269.2</v>
      </c>
      <c r="C19" s="2" t="str">
        <f>IFERROR(INDEX(January!$D$5:$D$175,(ROWS(B$5:B19) *10)-9),"")</f>
        <v>116.5/126</v>
      </c>
      <c r="D19" s="2" t="str">
        <f>IFERROR(INDEX(January!$E$5:$E$175,(ROWS(C$5:C19) *10)-9),"")</f>
        <v>62/63</v>
      </c>
      <c r="E19" s="2" t="str">
        <f>IFERROR(INDEX(January!$F$5:$F$175,(ROWS(C$5:C19) *10)-9),"")</f>
        <v>226.8/300</v>
      </c>
      <c r="F19" s="39">
        <f t="shared" si="0"/>
        <v>0.85104882778071578</v>
      </c>
      <c r="G19" s="39">
        <f t="shared" si="1"/>
        <v>0.92460317460317465</v>
      </c>
      <c r="H19" s="39">
        <f t="shared" si="2"/>
        <v>0.98412698412698407</v>
      </c>
      <c r="I19" s="39">
        <f t="shared" si="3"/>
        <v>0.75600000000000001</v>
      </c>
    </row>
    <row r="20" spans="1:12" x14ac:dyDescent="0.25">
      <c r="A20" s="4">
        <f>IFERROR(INDEX(January!$A$3:$A$173,(ROWS(A$5:A20) *10)-9),"")</f>
        <v>43494</v>
      </c>
      <c r="B20" s="2" t="str">
        <f>IFERROR(INDEX(January!$C$5:$C$175,(ROWS(B$5:B20) *10)-9),"")</f>
        <v>2342.42/2269.2</v>
      </c>
      <c r="C20" s="2" t="str">
        <f>IFERROR(INDEX(January!$D$5:$D$175,(ROWS(B$5:B20) *10)-9),"")</f>
        <v>176.66/126</v>
      </c>
      <c r="D20" s="2" t="str">
        <f>IFERROR(INDEX(January!$E$5:$E$175,(ROWS(C$5:C20) *10)-9),"")</f>
        <v>84.02/63</v>
      </c>
      <c r="E20" s="2" t="str">
        <f>IFERROR(INDEX(January!$F$5:$F$175,(ROWS(C$5:C20) *10)-9),"")</f>
        <v>219.9/300</v>
      </c>
      <c r="F20" s="39">
        <f t="shared" si="0"/>
        <v>1.0322668781949587</v>
      </c>
      <c r="G20" s="39">
        <f t="shared" si="1"/>
        <v>1.402063492063492</v>
      </c>
      <c r="H20" s="39">
        <f t="shared" si="2"/>
        <v>1.3336507936507935</v>
      </c>
      <c r="I20" s="39">
        <f t="shared" si="3"/>
        <v>0.73299999999999998</v>
      </c>
    </row>
    <row r="21" spans="1:12" x14ac:dyDescent="0.25">
      <c r="A21" s="4">
        <f>IFERROR(INDEX(January!$A$3:$A$173,(ROWS(A$5:A21) *10)-9),"")</f>
        <v>43495</v>
      </c>
      <c r="B21" s="2" t="str">
        <f>IFERROR(INDEX(January!$C$5:$C$175,(ROWS(B$5:B21) *10)-9),"")</f>
        <v>2233.875/2269.2</v>
      </c>
      <c r="C21" s="2" t="str">
        <f>IFERROR(INDEX(January!$D$5:$D$175,(ROWS(B$5:B21) *10)-9),"")</f>
        <v>105.75/126</v>
      </c>
      <c r="D21" s="2" t="str">
        <f>IFERROR(INDEX(January!$E$5:$E$175,(ROWS(C$5:C21) *10)-9),"")</f>
        <v>74.875/63</v>
      </c>
      <c r="E21" s="2" t="str">
        <f>IFERROR(INDEX(January!$F$5:$F$175,(ROWS(C$5:C21) *10)-9),"")</f>
        <v>284.25/300</v>
      </c>
      <c r="F21" s="39">
        <f t="shared" si="0"/>
        <v>0.98443283976731899</v>
      </c>
      <c r="G21" s="39">
        <f t="shared" si="1"/>
        <v>0.8392857142857143</v>
      </c>
      <c r="H21" s="39">
        <f t="shared" si="2"/>
        <v>1.1884920634920635</v>
      </c>
      <c r="I21" s="39">
        <f t="shared" si="3"/>
        <v>0.94750000000000001</v>
      </c>
    </row>
    <row r="22" spans="1:12" x14ac:dyDescent="0.25">
      <c r="A22" s="4">
        <f>IFERROR(INDEX(January!$A$3:$A$173,(ROWS(A$5:A22) *10)-9),"")</f>
        <v>43496</v>
      </c>
      <c r="B22" s="2" t="str">
        <f>IFERROR(INDEX(January!$C$5:$C$175,(ROWS(B$5:B22) *10)-9),"")</f>
        <v>2412.7/2269.2</v>
      </c>
      <c r="C22" s="2" t="str">
        <f>IFERROR(INDEX(January!$D$5:$D$175,(ROWS(B$5:B22) *10)-9),"")</f>
        <v>105/126</v>
      </c>
      <c r="D22" s="2" t="str">
        <f>IFERROR(INDEX(January!$E$5:$E$175,(ROWS(C$5:C22) *10)-9),"")</f>
        <v>115.5/63</v>
      </c>
      <c r="E22" s="2" t="str">
        <f>IFERROR(INDEX(January!$F$5:$F$175,(ROWS(C$5:C22) *10)-9),"")</f>
        <v>238.3/300</v>
      </c>
      <c r="F22" s="39">
        <f t="shared" si="0"/>
        <v>1.0632381456019742</v>
      </c>
      <c r="G22" s="39">
        <f t="shared" si="1"/>
        <v>0.83333333333333337</v>
      </c>
      <c r="H22" s="39">
        <f t="shared" si="2"/>
        <v>1.8333333333333333</v>
      </c>
      <c r="I22" s="39">
        <f t="shared" si="3"/>
        <v>0.79433333333333334</v>
      </c>
    </row>
    <row r="23" spans="1:12" x14ac:dyDescent="0.25">
      <c r="A23" s="2"/>
      <c r="B23" s="2"/>
      <c r="C23" s="2"/>
      <c r="D23" s="2"/>
    </row>
    <row r="24" spans="1:12" ht="18" thickBot="1" x14ac:dyDescent="0.35">
      <c r="A24" s="2"/>
      <c r="B24" s="2"/>
      <c r="C24" s="2"/>
      <c r="D24" s="2"/>
      <c r="K24" s="11" t="s">
        <v>115</v>
      </c>
      <c r="L24" s="44"/>
    </row>
    <row r="25" spans="1:12" ht="15.75" thickTop="1" x14ac:dyDescent="0.25">
      <c r="B25" s="2"/>
      <c r="C25" s="2"/>
      <c r="D25" s="2"/>
      <c r="K25" s="2" t="s">
        <v>112</v>
      </c>
      <c r="L25" s="39">
        <f>AVERAGE(F5:F22)</f>
        <v>0.93188624301873191</v>
      </c>
    </row>
    <row r="26" spans="1:12" x14ac:dyDescent="0.25">
      <c r="A26" s="2"/>
      <c r="B26" s="2"/>
      <c r="C26" s="2"/>
      <c r="D26" s="2"/>
      <c r="K26" s="2" t="s">
        <v>111</v>
      </c>
      <c r="L26" s="39">
        <f>MAX(F5:F22)</f>
        <v>1.4545293387697216</v>
      </c>
    </row>
    <row r="27" spans="1:12" x14ac:dyDescent="0.25">
      <c r="A27" s="2"/>
      <c r="B27" s="2"/>
      <c r="C27" s="2"/>
      <c r="D27" s="2"/>
      <c r="K27" s="2" t="s">
        <v>110</v>
      </c>
      <c r="L27" s="39">
        <f>MIN(F5:F22)</f>
        <v>0.44805885481297641</v>
      </c>
    </row>
    <row r="28" spans="1:12" x14ac:dyDescent="0.25">
      <c r="A28" s="2"/>
      <c r="B28" s="2"/>
      <c r="C28" s="2"/>
      <c r="D28" s="2"/>
      <c r="K28" s="2" t="s">
        <v>109</v>
      </c>
      <c r="L28" s="2">
        <f>ROUND(_xlfn.STDEV.S(F5:F22),3)</f>
        <v>0.315</v>
      </c>
    </row>
    <row r="29" spans="1:12" x14ac:dyDescent="0.25">
      <c r="A29" s="2"/>
      <c r="B29" s="2"/>
      <c r="C29" s="2"/>
      <c r="D29" s="2"/>
    </row>
    <row r="30" spans="1:12" ht="18" thickBot="1" x14ac:dyDescent="0.35">
      <c r="A30" s="2"/>
      <c r="B30" s="2"/>
      <c r="C30" s="2"/>
      <c r="D30" s="2"/>
      <c r="K30" s="11" t="s">
        <v>108</v>
      </c>
      <c r="L30" s="44"/>
    </row>
    <row r="31" spans="1:12" ht="15.75" thickTop="1" x14ac:dyDescent="0.25">
      <c r="A31" s="2"/>
      <c r="B31" s="2"/>
      <c r="C31" s="2"/>
      <c r="D31" s="2"/>
      <c r="K31" s="2" t="s">
        <v>112</v>
      </c>
      <c r="L31" s="39">
        <f>AVERAGE(G5:G22)</f>
        <v>1.0543718407578084</v>
      </c>
    </row>
    <row r="32" spans="1:12" x14ac:dyDescent="0.25">
      <c r="A32" s="2"/>
      <c r="B32" s="2"/>
      <c r="C32" s="2"/>
      <c r="D32" s="2"/>
      <c r="K32" s="2" t="s">
        <v>111</v>
      </c>
      <c r="L32" s="39">
        <f>MAX(G5:G22)</f>
        <v>1.6718548387096774</v>
      </c>
    </row>
    <row r="33" spans="1:12" x14ac:dyDescent="0.25">
      <c r="A33" s="2"/>
      <c r="B33" s="2"/>
      <c r="C33" s="2"/>
      <c r="D33" s="2"/>
      <c r="K33" s="2" t="s">
        <v>110</v>
      </c>
      <c r="L33" s="39">
        <f>MIN(G5:G22)</f>
        <v>0.4824</v>
      </c>
    </row>
    <row r="34" spans="1:12" x14ac:dyDescent="0.25">
      <c r="A34" s="2"/>
      <c r="B34" s="2"/>
      <c r="C34" s="2"/>
      <c r="D34" s="2"/>
      <c r="K34" s="2" t="s">
        <v>109</v>
      </c>
      <c r="L34" s="2">
        <f>ROUND(_xlfn.STDEV.S(G5:G22),3)</f>
        <v>0.32300000000000001</v>
      </c>
    </row>
    <row r="35" spans="1:12" x14ac:dyDescent="0.25">
      <c r="A35" s="2"/>
      <c r="B35" s="2"/>
      <c r="C35" s="2"/>
      <c r="D35" s="2"/>
    </row>
    <row r="36" spans="1:12" ht="18" thickBot="1" x14ac:dyDescent="0.35">
      <c r="A36" s="2"/>
      <c r="B36" s="2"/>
      <c r="C36" s="2"/>
      <c r="D36" s="2"/>
      <c r="K36" s="11" t="s">
        <v>113</v>
      </c>
      <c r="L36" s="44"/>
    </row>
    <row r="37" spans="1:12" ht="15.75" thickTop="1" x14ac:dyDescent="0.25">
      <c r="K37" s="2" t="s">
        <v>112</v>
      </c>
      <c r="L37" s="39">
        <f>AVERAGE(H5:H22)</f>
        <v>1.2314565198839391</v>
      </c>
    </row>
    <row r="38" spans="1:12" x14ac:dyDescent="0.25">
      <c r="K38" s="2" t="s">
        <v>111</v>
      </c>
      <c r="L38" s="39">
        <f>MAX(H5:H22)</f>
        <v>2.1306451612903223</v>
      </c>
    </row>
    <row r="39" spans="1:12" x14ac:dyDescent="0.25">
      <c r="K39" s="2" t="s">
        <v>110</v>
      </c>
      <c r="L39" s="39">
        <f>MIN(H5:H22)</f>
        <v>0.38412698412698409</v>
      </c>
    </row>
    <row r="40" spans="1:12" x14ac:dyDescent="0.25">
      <c r="K40" s="2" t="s">
        <v>109</v>
      </c>
      <c r="L40" s="2">
        <f>ROUND(_xlfn.STDEV.S(H5:H22),3)</f>
        <v>0.56799999999999995</v>
      </c>
    </row>
    <row r="42" spans="1:12" ht="18" thickBot="1" x14ac:dyDescent="0.35">
      <c r="K42" s="11" t="s">
        <v>114</v>
      </c>
      <c r="L42" s="44"/>
    </row>
    <row r="43" spans="1:12" ht="15.75" thickTop="1" x14ac:dyDescent="0.25">
      <c r="K43" s="2" t="s">
        <v>112</v>
      </c>
      <c r="L43" s="39">
        <f>AVERAGE(I5:I22)</f>
        <v>0.73837259429077784</v>
      </c>
    </row>
    <row r="44" spans="1:12" x14ac:dyDescent="0.25">
      <c r="K44" s="2" t="s">
        <v>111</v>
      </c>
      <c r="L44" s="39">
        <f>MAX(I5:I22)</f>
        <v>1.2572390572390573</v>
      </c>
    </row>
    <row r="45" spans="1:12" x14ac:dyDescent="0.25">
      <c r="K45" s="2" t="s">
        <v>110</v>
      </c>
      <c r="L45" s="39">
        <f>MIN(I5:I22)</f>
        <v>0.34680134680134678</v>
      </c>
    </row>
    <row r="46" spans="1:12" x14ac:dyDescent="0.25">
      <c r="K46" s="2" t="s">
        <v>109</v>
      </c>
      <c r="L46" s="2">
        <f>ROUND(_xlfn.STDEV.S(I5:I22),3)</f>
        <v>0.26500000000000001</v>
      </c>
    </row>
    <row r="67" spans="1:12" ht="20.25" thickBot="1" x14ac:dyDescent="0.35">
      <c r="A67" s="7" t="s">
        <v>81</v>
      </c>
    </row>
    <row r="68" spans="1:12" ht="18.75" thickTop="1" thickBot="1" x14ac:dyDescent="0.35">
      <c r="A68" s="3" t="s">
        <v>82</v>
      </c>
      <c r="B68" s="3" t="s">
        <v>36</v>
      </c>
      <c r="C68" s="3" t="s">
        <v>8</v>
      </c>
      <c r="D68" s="5" t="s">
        <v>9</v>
      </c>
      <c r="E68" s="5" t="s">
        <v>10</v>
      </c>
      <c r="F68" s="3" t="s">
        <v>83</v>
      </c>
      <c r="G68" s="3" t="s">
        <v>84</v>
      </c>
      <c r="H68" s="5" t="s">
        <v>85</v>
      </c>
      <c r="I68" s="5" t="s">
        <v>86</v>
      </c>
    </row>
    <row r="69" spans="1:12" ht="15.75" thickTop="1" x14ac:dyDescent="0.25">
      <c r="A69" s="4">
        <f>IFERROR(INDEX(February!$A$3:$A$273,(ROWS(A$69:A69) *10)-9),"")</f>
        <v>43497</v>
      </c>
      <c r="B69" s="2" t="str">
        <f>IFERROR(INDEX(February!$C$5:$C$275,(ROWS(B$69:B69) *10)-9),"")</f>
        <v>1833.5/2269.2</v>
      </c>
      <c r="C69" s="2" t="str">
        <f>IFERROR(INDEX(February!$D$5:$D$275,(ROWS(B$69:B69) *10)-9),"")</f>
        <v>112.2/126</v>
      </c>
      <c r="D69" s="2" t="str">
        <f>IFERROR(INDEX(February!$E$5:$E$275,(ROWS(B$69:B69) *10)-9),"")</f>
        <v>75.9/63</v>
      </c>
      <c r="E69" s="2" t="str">
        <f>IFERROR(INDEX(February!$F$5:$F$275,(ROWS(B$69:B69) *10)-9),"")</f>
        <v>175.4/300</v>
      </c>
      <c r="F69" s="39">
        <f>(LEFT(B69,SEARCH("/",B69,1)-1))/(RIGHT(B69,LEN(B69)-FIND("/",B69)))</f>
        <v>0.80799400669839594</v>
      </c>
      <c r="G69" s="39">
        <f>(LEFT(C69,SEARCH("/",C69,1)-1))/(RIGHT(C69,LEN(C69)-FIND("/",C69)))</f>
        <v>0.89047619047619053</v>
      </c>
      <c r="H69" s="39">
        <f>(LEFT(D69,SEARCH("/",D69,1)-1))/(RIGHT(D69,LEN(D69)-FIND("/",D69)))</f>
        <v>1.2047619047619049</v>
      </c>
      <c r="I69" s="39">
        <f>(LEFT(E69,SEARCH("/",E69,1)-1))/(RIGHT(E69,LEN(E69)-FIND("/",E69)))</f>
        <v>0.58466666666666667</v>
      </c>
    </row>
    <row r="70" spans="1:12" x14ac:dyDescent="0.25">
      <c r="A70" s="4">
        <f>IFERROR(INDEX(February!$A$3:$A$273,(ROWS(A$69:A70) *10)-9),"")</f>
        <v>43498</v>
      </c>
      <c r="B70" s="2" t="str">
        <f>IFERROR(INDEX(February!$C$5:$C$275,(ROWS(B$69:B70) *10)-9),"")</f>
        <v>1563.75/2269.2</v>
      </c>
      <c r="C70" s="2" t="str">
        <f>IFERROR(INDEX(February!$D$5:$D$275,(ROWS(B$69:B70) *10)-9),"")</f>
        <v>75.5/126</v>
      </c>
      <c r="D70" s="2" t="str">
        <f>IFERROR(INDEX(February!$E$5:$E$275,(ROWS(B$69:B70) *10)-9),"")</f>
        <v>61.75/63</v>
      </c>
      <c r="E70" s="2" t="str">
        <f>IFERROR(INDEX(February!$F$5:$F$275,(ROWS(B$69:B70) *10)-9),"")</f>
        <v>176.5/300</v>
      </c>
      <c r="F70" s="39">
        <f t="shared" ref="F70:F96" si="4">(LEFT(B70,SEARCH("/",B70,1)-1))/(RIGHT(B70,LEN(B70)-FIND("/",B70)))</f>
        <v>0.68911951348492861</v>
      </c>
      <c r="G70" s="39">
        <f t="shared" ref="G70:G96" si="5">(LEFT(C70,SEARCH("/",C70,1)-1))/(RIGHT(C70,LEN(C70)-FIND("/",C70)))</f>
        <v>0.59920634920634919</v>
      </c>
      <c r="H70" s="39">
        <f t="shared" ref="H70:H96" si="6">(LEFT(D70,SEARCH("/",D70,1)-1))/(RIGHT(D70,LEN(D70)-FIND("/",D70)))</f>
        <v>0.98015873015873012</v>
      </c>
      <c r="I70" s="39">
        <f t="shared" ref="I70:I96" si="7">(LEFT(E70,SEARCH("/",E70,1)-1))/(RIGHT(E70,LEN(E70)-FIND("/",E70)))</f>
        <v>0.58833333333333337</v>
      </c>
      <c r="L70" s="39"/>
    </row>
    <row r="71" spans="1:12" x14ac:dyDescent="0.25">
      <c r="A71" s="4">
        <f>IFERROR(INDEX(February!$A$3:$A$273,(ROWS(A$69:A71) *10)-9),"")</f>
        <v>43499</v>
      </c>
      <c r="B71" s="2" t="str">
        <f>IFERROR(INDEX(February!$C$5:$C$275,(ROWS(B$69:B71) *10)-9),"")</f>
        <v>1230.5/2269.2</v>
      </c>
      <c r="C71" s="2" t="str">
        <f>IFERROR(INDEX(February!$D$5:$D$275,(ROWS(B$69:B71) *10)-9),"")</f>
        <v>107/126</v>
      </c>
      <c r="D71" s="2" t="str">
        <f>IFERROR(INDEX(February!$E$5:$E$275,(ROWS(B$69:B71) *10)-9),"")</f>
        <v>46.5/63</v>
      </c>
      <c r="E71" s="2" t="str">
        <f>IFERROR(INDEX(February!$F$5:$F$275,(ROWS(B$69:B71) *10)-9),"")</f>
        <v>96/300</v>
      </c>
      <c r="F71" s="39">
        <f t="shared" si="4"/>
        <v>0.54226158998766094</v>
      </c>
      <c r="G71" s="39">
        <f t="shared" si="5"/>
        <v>0.84920634920634919</v>
      </c>
      <c r="H71" s="39">
        <f t="shared" si="6"/>
        <v>0.73809523809523814</v>
      </c>
      <c r="I71" s="39">
        <f t="shared" si="7"/>
        <v>0.32</v>
      </c>
      <c r="L71" s="39"/>
    </row>
    <row r="72" spans="1:12" x14ac:dyDescent="0.25">
      <c r="A72" s="4">
        <f>IFERROR(INDEX(February!$A$3:$A$273,(ROWS(A$69:A72) *10)-9),"")</f>
        <v>43500</v>
      </c>
      <c r="B72" s="2" t="str">
        <f>IFERROR(INDEX(February!$C$5:$C$275,(ROWS(B$69:B72) *10)-9),"")</f>
        <v>1993.3/2282</v>
      </c>
      <c r="C72" s="2" t="str">
        <f>IFERROR(INDEX(February!$D$5:$D$275,(ROWS(B$69:B72) *10)-9),"")</f>
        <v>118.9/127</v>
      </c>
      <c r="D72" s="2" t="str">
        <f>IFERROR(INDEX(February!$E$5:$E$275,(ROWS(B$69:B72) *10)-9),"")</f>
        <v>81.7/63</v>
      </c>
      <c r="E72" s="2" t="str">
        <f>IFERROR(INDEX(February!$F$5:$F$275,(ROWS(B$69:B72) *10)-9),"")</f>
        <v>195.6/302</v>
      </c>
      <c r="F72" s="39">
        <f t="shared" si="4"/>
        <v>0.87348816827344433</v>
      </c>
      <c r="G72" s="39">
        <f t="shared" si="5"/>
        <v>0.93622047244094497</v>
      </c>
      <c r="H72" s="39">
        <f t="shared" si="6"/>
        <v>1.2968253968253969</v>
      </c>
      <c r="I72" s="39">
        <f t="shared" si="7"/>
        <v>0.64768211920529795</v>
      </c>
      <c r="L72" s="39"/>
    </row>
    <row r="73" spans="1:12" x14ac:dyDescent="0.25">
      <c r="A73" s="4">
        <f>IFERROR(INDEX(February!$A$3:$A$273,(ROWS(A$69:A73) *10)-9),"")</f>
        <v>43501</v>
      </c>
      <c r="B73" s="2" t="str">
        <f>IFERROR(INDEX(February!$C$5:$C$275,(ROWS(B$69:B73) *10)-9),"")</f>
        <v>2196.22/2282</v>
      </c>
      <c r="C73" s="2" t="str">
        <f>IFERROR(INDEX(February!$D$5:$D$275,(ROWS(B$69:B73) *10)-9),"")</f>
        <v>165.36/127</v>
      </c>
      <c r="D73" s="2" t="str">
        <f>IFERROR(INDEX(February!$E$5:$E$275,(ROWS(B$69:B73) *10)-9),"")</f>
        <v>65.82/63</v>
      </c>
      <c r="E73" s="2" t="str">
        <f>IFERROR(INDEX(February!$F$5:$F$275,(ROWS(B$69:B73) *10)-9),"")</f>
        <v>235.6/302</v>
      </c>
      <c r="F73" s="39">
        <f t="shared" si="4"/>
        <v>0.96241016652059586</v>
      </c>
      <c r="G73" s="39">
        <f t="shared" si="5"/>
        <v>1.3020472440944884</v>
      </c>
      <c r="H73" s="39">
        <f t="shared" si="6"/>
        <v>1.0447619047619046</v>
      </c>
      <c r="I73" s="39">
        <f t="shared" si="7"/>
        <v>0.78013245033112577</v>
      </c>
      <c r="L73" s="2"/>
    </row>
    <row r="74" spans="1:12" x14ac:dyDescent="0.25">
      <c r="A74" s="4">
        <f>IFERROR(INDEX(February!$A$3:$A$273,(ROWS(A$69:A74) *10)-9),"")</f>
        <v>43502</v>
      </c>
      <c r="B74" s="2" t="str">
        <f>IFERROR(INDEX(February!$C$5:$C$275,(ROWS(B$69:B74) *10)-9),"")</f>
        <v>2939.75/2282</v>
      </c>
      <c r="C74" s="2" t="str">
        <f>IFERROR(INDEX(February!$D$5:$D$275,(ROWS(B$69:B74) *10)-9),"")</f>
        <v>220.05/127</v>
      </c>
      <c r="D74" s="2" t="str">
        <f>IFERROR(INDEX(February!$E$5:$E$275,(ROWS(B$69:B74) *10)-9),"")</f>
        <v>107.15/63</v>
      </c>
      <c r="E74" s="2" t="str">
        <f>IFERROR(INDEX(February!$F$5:$F$275,(ROWS(B$69:B74) *10)-9),"")</f>
        <v>273.8/302</v>
      </c>
      <c r="F74" s="39">
        <f t="shared" si="4"/>
        <v>1.288234005258545</v>
      </c>
      <c r="G74" s="39">
        <f t="shared" si="5"/>
        <v>1.7326771653543307</v>
      </c>
      <c r="H74" s="39">
        <f t="shared" si="6"/>
        <v>1.700793650793651</v>
      </c>
      <c r="I74" s="39">
        <f t="shared" si="7"/>
        <v>0.90662251655629145</v>
      </c>
    </row>
    <row r="75" spans="1:12" x14ac:dyDescent="0.25">
      <c r="A75" s="4">
        <f>IFERROR(INDEX(February!$A$3:$A$273,(ROWS(A$69:A75) *10)-9),"")</f>
        <v>43503</v>
      </c>
      <c r="B75" s="2" t="str">
        <f>IFERROR(INDEX(February!$C$5:$C$275,(ROWS(B$69:B75) *10)-9),"")</f>
        <v>3244.45/2282</v>
      </c>
      <c r="C75" s="2" t="str">
        <f>IFERROR(INDEX(February!$D$5:$D$275,(ROWS(B$69:B75) *10)-9),"")</f>
        <v>218.85/127</v>
      </c>
      <c r="D75" s="2" t="str">
        <f>IFERROR(INDEX(February!$E$5:$E$275,(ROWS(B$69:B75) *10)-9),"")</f>
        <v>113.85/63</v>
      </c>
      <c r="E75" s="2" t="str">
        <f>IFERROR(INDEX(February!$F$5:$F$275,(ROWS(B$69:B75) *10)-9),"")</f>
        <v>336.1/302</v>
      </c>
      <c r="F75" s="39">
        <f t="shared" si="4"/>
        <v>1.4217572304995616</v>
      </c>
      <c r="G75" s="39">
        <f t="shared" si="5"/>
        <v>1.7232283464566929</v>
      </c>
      <c r="H75" s="39">
        <f t="shared" si="6"/>
        <v>1.8071428571428572</v>
      </c>
      <c r="I75" s="39">
        <f t="shared" si="7"/>
        <v>1.1129139072847682</v>
      </c>
    </row>
    <row r="76" spans="1:12" x14ac:dyDescent="0.25">
      <c r="A76" s="4">
        <f>IFERROR(INDEX(February!$A$3:$A$273,(ROWS(A$69:A76) *10)-9),"")</f>
        <v>43504</v>
      </c>
      <c r="B76" s="2" t="str">
        <f>IFERROR(INDEX(February!$C$5:$C$275,(ROWS(B$69:B76) *10)-9),"")</f>
        <v>2103.3/2282</v>
      </c>
      <c r="C76" s="2" t="str">
        <f>IFERROR(INDEX(February!$D$5:$D$275,(ROWS(B$69:B76) *10)-9),"")</f>
        <v>117.7/127</v>
      </c>
      <c r="D76" s="2" t="str">
        <f>IFERROR(INDEX(February!$E$5:$E$275,(ROWS(B$69:B76) *10)-9),"")</f>
        <v>69.3/63</v>
      </c>
      <c r="E76" s="2" t="str">
        <f>IFERROR(INDEX(February!$F$5:$F$275,(ROWS(B$69:B76) *10)-9),"")</f>
        <v>252.2/302</v>
      </c>
      <c r="F76" s="39">
        <f t="shared" si="4"/>
        <v>0.92169149868536382</v>
      </c>
      <c r="G76" s="39">
        <f t="shared" si="5"/>
        <v>0.92677165354330715</v>
      </c>
      <c r="H76" s="39">
        <f t="shared" si="6"/>
        <v>1.0999999999999999</v>
      </c>
      <c r="I76" s="39">
        <f t="shared" si="7"/>
        <v>0.83509933774834433</v>
      </c>
      <c r="L76" s="39"/>
    </row>
    <row r="77" spans="1:12" x14ac:dyDescent="0.25">
      <c r="A77" s="4">
        <f>IFERROR(INDEX(February!$A$3:$A$273,(ROWS(A$69:A77) *10)-9),"")</f>
        <v>43505</v>
      </c>
      <c r="B77" s="2" t="str">
        <f>IFERROR(INDEX(February!$C$5:$C$275,(ROWS(B$69:B77) *10)-9),"")</f>
        <v>1582/2282</v>
      </c>
      <c r="C77" s="2" t="str">
        <f>IFERROR(INDEX(February!$D$5:$D$275,(ROWS(B$69:B77) *10)-9),"")</f>
        <v>65/127</v>
      </c>
      <c r="D77" s="2" t="str">
        <f>IFERROR(INDEX(February!$E$5:$E$275,(ROWS(B$69:B77) *10)-9),"")</f>
        <v>70/63</v>
      </c>
      <c r="E77" s="2" t="str">
        <f>IFERROR(INDEX(February!$F$5:$F$275,(ROWS(B$69:B77) *10)-9),"")</f>
        <v>173/302</v>
      </c>
      <c r="F77" s="39">
        <f t="shared" si="4"/>
        <v>0.69325153374233128</v>
      </c>
      <c r="G77" s="39">
        <f t="shared" si="5"/>
        <v>0.51181102362204722</v>
      </c>
      <c r="H77" s="39">
        <f t="shared" si="6"/>
        <v>1.1111111111111112</v>
      </c>
      <c r="I77" s="39">
        <f t="shared" si="7"/>
        <v>0.57284768211920534</v>
      </c>
      <c r="L77" s="39"/>
    </row>
    <row r="78" spans="1:12" x14ac:dyDescent="0.25">
      <c r="A78" s="4">
        <f>IFERROR(INDEX(February!$A$3:$A$273,(ROWS(A$69:A78) *10)-9),"")</f>
        <v>43506</v>
      </c>
      <c r="B78" s="2" t="str">
        <f>IFERROR(INDEX(February!$C$5:$C$275,(ROWS(B$69:B78) *10)-9),"")</f>
        <v>3084.7/2282</v>
      </c>
      <c r="C78" s="2" t="str">
        <f>IFERROR(INDEX(February!$D$5:$D$275,(ROWS(B$69:B78) *10)-9),"")</f>
        <v>139.2/127</v>
      </c>
      <c r="D78" s="2" t="str">
        <f>IFERROR(INDEX(February!$E$5:$E$275,(ROWS(B$69:B78) *10)-9),"")</f>
        <v>124.7/63</v>
      </c>
      <c r="E78" s="2" t="str">
        <f>IFERROR(INDEX(February!$F$5:$F$275,(ROWS(B$69:B78) *10)-9),"")</f>
        <v>351.4/302</v>
      </c>
      <c r="F78" s="39">
        <f t="shared" si="4"/>
        <v>1.3517528483786152</v>
      </c>
      <c r="G78" s="39">
        <f t="shared" si="5"/>
        <v>1.0960629921259841</v>
      </c>
      <c r="H78" s="39">
        <f t="shared" si="6"/>
        <v>1.9793650793650794</v>
      </c>
      <c r="I78" s="39">
        <f t="shared" si="7"/>
        <v>1.1635761589403972</v>
      </c>
      <c r="L78" s="39"/>
    </row>
    <row r="79" spans="1:12" x14ac:dyDescent="0.25">
      <c r="A79" s="4">
        <f>IFERROR(INDEX(February!$A$3:$A$273,(ROWS(A$69:A79) *10)-9),"")</f>
        <v>43507</v>
      </c>
      <c r="B79" s="2" t="str">
        <f>IFERROR(INDEX(February!$C$5:$C$275,(ROWS(B$69:B79) *10)-9),"")</f>
        <v>1926.6/2298</v>
      </c>
      <c r="C79" s="2" t="str">
        <f>IFERROR(INDEX(February!$D$5:$D$275,(ROWS(B$69:B79) *10)-9),"")</f>
        <v>138.8/128</v>
      </c>
      <c r="D79" s="2" t="str">
        <f>IFERROR(INDEX(February!$E$5:$E$275,(ROWS(B$69:B79) *10)-9),"")</f>
        <v>85/64</v>
      </c>
      <c r="E79" s="2" t="str">
        <f>IFERROR(INDEX(February!$F$5:$F$275,(ROWS(B$69:B79) *10)-9),"")</f>
        <v>151.6/303</v>
      </c>
      <c r="F79" s="39">
        <f t="shared" si="4"/>
        <v>0.8383812010443864</v>
      </c>
      <c r="G79" s="39">
        <f t="shared" si="5"/>
        <v>1.0843750000000001</v>
      </c>
      <c r="H79" s="39">
        <f t="shared" si="6"/>
        <v>1.328125</v>
      </c>
      <c r="I79" s="39">
        <f t="shared" si="7"/>
        <v>0.50033003300330026</v>
      </c>
      <c r="L79" s="2"/>
    </row>
    <row r="80" spans="1:12" x14ac:dyDescent="0.25">
      <c r="A80" s="4">
        <f>IFERROR(INDEX(February!$A$3:$A$273,(ROWS(A$69:A80) *10)-9),"")</f>
        <v>43508</v>
      </c>
      <c r="B80" s="2" t="str">
        <f>IFERROR(INDEX(February!$C$5:$C$275,(ROWS(B$69:B80) *10)-9),"")</f>
        <v>1861.04/2298</v>
      </c>
      <c r="C80" s="2" t="str">
        <f>IFERROR(INDEX(February!$D$5:$D$275,(ROWS(B$69:B80) *10)-9),"")</f>
        <v>99.96/128</v>
      </c>
      <c r="D80" s="2" t="str">
        <f>IFERROR(INDEX(February!$E$5:$E$275,(ROWS(B$69:B80) *10)-9),"")</f>
        <v>81.28/64</v>
      </c>
      <c r="E80" s="2" t="str">
        <f>IFERROR(INDEX(February!$F$5:$F$275,(ROWS(B$69:B80) *10)-9),"")</f>
        <v>182.42/303</v>
      </c>
      <c r="F80" s="39">
        <f t="shared" si="4"/>
        <v>0.80985204525674503</v>
      </c>
      <c r="G80" s="39">
        <f t="shared" si="5"/>
        <v>0.78093749999999995</v>
      </c>
      <c r="H80" s="39">
        <f t="shared" si="6"/>
        <v>1.27</v>
      </c>
      <c r="I80" s="39">
        <f t="shared" si="7"/>
        <v>0.60204620462046199</v>
      </c>
      <c r="L80" s="39"/>
    </row>
    <row r="81" spans="1:12" x14ac:dyDescent="0.25">
      <c r="A81" s="4">
        <f>IFERROR(INDEX(February!$A$3:$A$273,(ROWS(A$69:A81) *10)-9),"")</f>
        <v>43509</v>
      </c>
      <c r="B81" s="2" t="str">
        <f>IFERROR(INDEX(February!$C$5:$C$275,(ROWS(B$69:B81) *10)-9),"")</f>
        <v>2817.95/2298</v>
      </c>
      <c r="C81" s="2" t="str">
        <f>IFERROR(INDEX(February!$D$5:$D$275,(ROWS(B$69:B81) *10)-9),"")</f>
        <v>146.2/128</v>
      </c>
      <c r="D81" s="2" t="str">
        <f>IFERROR(INDEX(February!$E$5:$E$275,(ROWS(B$69:B81) *10)-9),"")</f>
        <v>101.95/64</v>
      </c>
      <c r="E81" s="2" t="str">
        <f>IFERROR(INDEX(February!$F$5:$F$275,(ROWS(B$69:B81) *10)-9),"")</f>
        <v>328.9/303</v>
      </c>
      <c r="F81" s="39">
        <f t="shared" si="4"/>
        <v>1.2262619669277632</v>
      </c>
      <c r="G81" s="39">
        <f t="shared" si="5"/>
        <v>1.1421874999999999</v>
      </c>
      <c r="H81" s="39">
        <f t="shared" si="6"/>
        <v>1.59296875</v>
      </c>
      <c r="I81" s="39">
        <f t="shared" si="7"/>
        <v>1.0854785478547855</v>
      </c>
    </row>
    <row r="82" spans="1:12" x14ac:dyDescent="0.25">
      <c r="A82" s="4">
        <f>IFERROR(INDEX(February!$A$3:$A$273,(ROWS(A$69:A82) *10)-9),"")</f>
        <v>43510</v>
      </c>
      <c r="B82" s="2" t="str">
        <f>IFERROR(INDEX(February!$C$5:$C$275,(ROWS(B$69:B82) *10)-9),"")</f>
        <v>1998.85/2298</v>
      </c>
      <c r="C82" s="2" t="str">
        <f>IFERROR(INDEX(February!$D$5:$D$275,(ROWS(B$69:B82) *10)-9),"")</f>
        <v>119.7/128</v>
      </c>
      <c r="D82" s="2" t="str">
        <f>IFERROR(INDEX(February!$E$5:$E$275,(ROWS(B$69:B82) *10)-9),"")</f>
        <v>70.05/64</v>
      </c>
      <c r="E82" s="2" t="str">
        <f>IFERROR(INDEX(February!$F$5:$F$275,(ROWS(B$69:B82) *10)-9),"")</f>
        <v>222.4/303</v>
      </c>
      <c r="F82" s="39">
        <f t="shared" si="4"/>
        <v>0.86982158398607479</v>
      </c>
      <c r="G82" s="39">
        <f t="shared" si="5"/>
        <v>0.93515625000000002</v>
      </c>
      <c r="H82" s="39">
        <f t="shared" si="6"/>
        <v>1.09453125</v>
      </c>
      <c r="I82" s="39">
        <f t="shared" si="7"/>
        <v>0.73399339933993402</v>
      </c>
      <c r="L82" s="39"/>
    </row>
    <row r="83" spans="1:12" x14ac:dyDescent="0.25">
      <c r="A83" s="4">
        <f>IFERROR(INDEX(February!$A$3:$A$273,(ROWS(A$69:A83) *10)-9),"")</f>
        <v>43511</v>
      </c>
      <c r="B83" s="2" t="str">
        <f>IFERROR(INDEX(February!$C$5:$C$275,(ROWS(B$69:B83) *10)-9),"")</f>
        <v>1819/2298</v>
      </c>
      <c r="C83" s="2" t="str">
        <f>IFERROR(INDEX(February!$D$5:$D$275,(ROWS(B$69:B83) *10)-9),"")</f>
        <v>90.3/128</v>
      </c>
      <c r="D83" s="2" t="str">
        <f>IFERROR(INDEX(February!$E$5:$E$275,(ROWS(B$69:B83) *10)-9),"")</f>
        <v>79.4/64</v>
      </c>
      <c r="E83" s="2" t="str">
        <f>IFERROR(INDEX(February!$F$5:$F$275,(ROWS(B$69:B83) *10)-9),"")</f>
        <v>185.8/303</v>
      </c>
      <c r="F83" s="39">
        <f t="shared" si="4"/>
        <v>0.79155787641427333</v>
      </c>
      <c r="G83" s="39">
        <f t="shared" si="5"/>
        <v>0.70546874999999998</v>
      </c>
      <c r="H83" s="39">
        <f t="shared" si="6"/>
        <v>1.2406250000000001</v>
      </c>
      <c r="I83" s="39">
        <f t="shared" si="7"/>
        <v>0.61320132013201323</v>
      </c>
      <c r="L83" s="39"/>
    </row>
    <row r="84" spans="1:12" x14ac:dyDescent="0.25">
      <c r="A84" s="4">
        <f>IFERROR(INDEX(February!$A$3:$A$273,(ROWS(A$69:A84) *10)-9),"")</f>
        <v>43512</v>
      </c>
      <c r="B84" s="2" t="str">
        <f>IFERROR(INDEX(February!$C$5:$C$275,(ROWS(B$69:B84) *10)-9),"")</f>
        <v>2011/2298</v>
      </c>
      <c r="C84" s="2" t="str">
        <f>IFERROR(INDEX(February!$D$5:$D$275,(ROWS(B$69:B84) *10)-9),"")</f>
        <v>105/128</v>
      </c>
      <c r="D84" s="2" t="str">
        <f>IFERROR(INDEX(February!$E$5:$E$275,(ROWS(B$69:B84) *10)-9),"")</f>
        <v>93/64</v>
      </c>
      <c r="E84" s="2" t="str">
        <f>IFERROR(INDEX(February!$F$5:$F$275,(ROWS(B$69:B84) *10)-9),"")</f>
        <v>188.5/303</v>
      </c>
      <c r="F84" s="39">
        <f t="shared" si="4"/>
        <v>0.87510879025239341</v>
      </c>
      <c r="G84" s="39">
        <f t="shared" si="5"/>
        <v>0.8203125</v>
      </c>
      <c r="H84" s="39">
        <f t="shared" si="6"/>
        <v>1.453125</v>
      </c>
      <c r="I84" s="39">
        <f t="shared" si="7"/>
        <v>0.62211221122112215</v>
      </c>
      <c r="L84" s="39"/>
    </row>
    <row r="85" spans="1:12" x14ac:dyDescent="0.25">
      <c r="A85" s="4">
        <f>IFERROR(INDEX(February!$A$3:$A$273,(ROWS(A$69:A85) *10)-9),"")</f>
        <v>43513</v>
      </c>
      <c r="B85" s="2" t="str">
        <f>IFERROR(INDEX(February!$C$5:$C$275,(ROWS(B$69:B85) *10)-9),"")</f>
        <v>2288.75/2298</v>
      </c>
      <c r="C85" s="2" t="str">
        <f>IFERROR(INDEX(February!$D$5:$D$275,(ROWS(B$69:B85) *10)-9),"")</f>
        <v>99.5/128</v>
      </c>
      <c r="D85" s="2" t="str">
        <f>IFERROR(INDEX(February!$E$5:$E$275,(ROWS(B$69:B85) *10)-9),"")</f>
        <v>106.75/64</v>
      </c>
      <c r="E85" s="2" t="str">
        <f>IFERROR(INDEX(February!$F$5:$F$275,(ROWS(B$69:B85) *10)-9),"")</f>
        <v>232.5/303</v>
      </c>
      <c r="F85" s="39">
        <f t="shared" si="4"/>
        <v>0.99597476066144475</v>
      </c>
      <c r="G85" s="39">
        <f t="shared" si="5"/>
        <v>0.77734375</v>
      </c>
      <c r="H85" s="39">
        <f t="shared" si="6"/>
        <v>1.66796875</v>
      </c>
      <c r="I85" s="39">
        <f t="shared" si="7"/>
        <v>0.76732673267326734</v>
      </c>
      <c r="K85" s="2"/>
      <c r="L85" s="2"/>
    </row>
    <row r="86" spans="1:12" x14ac:dyDescent="0.25">
      <c r="A86" s="4">
        <f>IFERROR(INDEX(February!$A$3:$A$273,(ROWS(A$69:A86) *10)-9),"")</f>
        <v>43514</v>
      </c>
      <c r="B86" s="2" t="str">
        <f>IFERROR(INDEX(February!$C$5:$C$275,(ROWS(B$69:B86) *10)-9),"")</f>
        <v>2309.5/2288.4</v>
      </c>
      <c r="C86" s="2" t="str">
        <f>IFERROR(INDEX(February!$D$5:$D$275,(ROWS(B$69:B86) *10)-9),"")</f>
        <v>154.2/127</v>
      </c>
      <c r="D86" s="2" t="str">
        <f>IFERROR(INDEX(February!$E$5:$E$275,(ROWS(B$69:B86) *10)-9),"")</f>
        <v>103.9/64</v>
      </c>
      <c r="E86" s="2" t="str">
        <f>IFERROR(INDEX(February!$F$5:$F$275,(ROWS(B$69:B86) *10)-9),"")</f>
        <v>189.4/301</v>
      </c>
      <c r="F86" s="39">
        <f t="shared" si="4"/>
        <v>1.0092204160111868</v>
      </c>
      <c r="G86" s="39">
        <f t="shared" si="5"/>
        <v>1.2141732283464566</v>
      </c>
      <c r="H86" s="39">
        <f t="shared" si="6"/>
        <v>1.6234375000000001</v>
      </c>
      <c r="I86" s="39">
        <f t="shared" si="7"/>
        <v>0.62923588039867107</v>
      </c>
    </row>
    <row r="87" spans="1:12" x14ac:dyDescent="0.25">
      <c r="A87" s="4">
        <f>IFERROR(INDEX(February!$A$3:$A$273,(ROWS(A$69:A87) *10)-9),"")</f>
        <v>43515</v>
      </c>
      <c r="B87" s="2" t="str">
        <f>IFERROR(INDEX(February!$C$5:$C$275,(ROWS(B$69:B87) *10)-9),"")</f>
        <v>1837.825/2288.4</v>
      </c>
      <c r="C87" s="2" t="str">
        <f>IFERROR(INDEX(February!$D$5:$D$275,(ROWS(B$69:B87) *10)-9),"")</f>
        <v>159.625/127</v>
      </c>
      <c r="D87" s="2" t="str">
        <f>IFERROR(INDEX(February!$E$5:$E$275,(ROWS(B$69:B87) *10)-9),"")</f>
        <v>51.925/64</v>
      </c>
      <c r="E87" s="2" t="str">
        <f>IFERROR(INDEX(February!$F$5:$F$275,(ROWS(B$69:B87) *10)-9),"")</f>
        <v>183/301</v>
      </c>
      <c r="F87" s="39">
        <f t="shared" si="4"/>
        <v>0.8031047893724873</v>
      </c>
      <c r="G87" s="39">
        <f t="shared" si="5"/>
        <v>1.2568897637795275</v>
      </c>
      <c r="H87" s="39">
        <f t="shared" si="6"/>
        <v>0.81132812499999996</v>
      </c>
      <c r="I87" s="39">
        <f t="shared" si="7"/>
        <v>0.60797342192691028</v>
      </c>
    </row>
    <row r="88" spans="1:12" x14ac:dyDescent="0.25">
      <c r="A88" s="4">
        <f>IFERROR(INDEX(February!$A$3:$A$273,(ROWS(A$69:A88) *10)-9),"")</f>
        <v>43516</v>
      </c>
      <c r="B88" s="2" t="str">
        <f>IFERROR(INDEX(February!$C$5:$C$275,(ROWS(B$69:B88) *10)-9),"")</f>
        <v>1847.951/2288.4</v>
      </c>
      <c r="C88" s="2" t="str">
        <f>IFERROR(INDEX(February!$D$5:$D$275,(ROWS(B$69:B88) *10)-9),"")</f>
        <v>148.335/127</v>
      </c>
      <c r="D88" s="2" t="str">
        <f>IFERROR(INDEX(February!$E$5:$E$275,(ROWS(B$69:B88) *10)-9),"")</f>
        <v>69.131/64</v>
      </c>
      <c r="E88" s="2" t="str">
        <f>IFERROR(INDEX(February!$F$5:$F$275,(ROWS(B$69:B88) *10)-9),"")</f>
        <v>158.108/301</v>
      </c>
      <c r="F88" s="39">
        <f t="shared" si="4"/>
        <v>0.80752971508477533</v>
      </c>
      <c r="G88" s="39">
        <f t="shared" si="5"/>
        <v>1.1679921259842521</v>
      </c>
      <c r="H88" s="39">
        <f t="shared" si="6"/>
        <v>1.080171875</v>
      </c>
      <c r="I88" s="39">
        <f t="shared" si="7"/>
        <v>0.52527574750830563</v>
      </c>
    </row>
    <row r="89" spans="1:12" x14ac:dyDescent="0.25">
      <c r="A89" s="4">
        <f>IFERROR(INDEX(February!$A$3:$A$273,(ROWS(A$69:A89) *10)-9),"")</f>
        <v>43517</v>
      </c>
      <c r="B89" s="2" t="str">
        <f>IFERROR(INDEX(February!$C$5:$C$275,(ROWS(B$69:B89) *10)-9),"")</f>
        <v>2034.861/2288.4</v>
      </c>
      <c r="C89" s="2" t="str">
        <f>IFERROR(INDEX(February!$D$5:$D$275,(ROWS(B$69:B89) *10)-9),"")</f>
        <v>154.175/127</v>
      </c>
      <c r="D89" s="2" t="str">
        <f>IFERROR(INDEX(February!$E$5:$E$275,(ROWS(B$69:B89) *10)-9),"")</f>
        <v>68.681/64</v>
      </c>
      <c r="E89" s="2" t="str">
        <f>IFERROR(INDEX(February!$F$5:$F$275,(ROWS(B$69:B89) *10)-9),"")</f>
        <v>200.008/301</v>
      </c>
      <c r="F89" s="39">
        <f t="shared" si="4"/>
        <v>0.88920686942842164</v>
      </c>
      <c r="G89" s="39">
        <f t="shared" si="5"/>
        <v>1.2139763779527559</v>
      </c>
      <c r="H89" s="39">
        <f t="shared" si="6"/>
        <v>1.073140625</v>
      </c>
      <c r="I89" s="39">
        <f t="shared" si="7"/>
        <v>0.66447840531561464</v>
      </c>
    </row>
    <row r="90" spans="1:12" x14ac:dyDescent="0.25">
      <c r="A90" s="4">
        <f>IFERROR(INDEX(February!$A$3:$A$273,(ROWS(A$69:A90) *10)-9),"")</f>
        <v>43518</v>
      </c>
      <c r="B90" s="2" t="str">
        <f>IFERROR(INDEX(February!$C$5:$C$275,(ROWS(B$69:B90) *10)-9),"")</f>
        <v>2242.7/2288.4</v>
      </c>
      <c r="C90" s="2" t="str">
        <f>IFERROR(INDEX(February!$D$5:$D$275,(ROWS(B$69:B90) *10)-9),"")</f>
        <v>149.2/127</v>
      </c>
      <c r="D90" s="2" t="str">
        <f>IFERROR(INDEX(February!$E$5:$E$275,(ROWS(B$69:B90) *10)-9),"")</f>
        <v>106.7/64</v>
      </c>
      <c r="E90" s="2" t="str">
        <f>IFERROR(INDEX(February!$F$5:$F$275,(ROWS(B$69:B90) *10)-9),"")</f>
        <v>171.4/301</v>
      </c>
      <c r="F90" s="39">
        <f t="shared" si="4"/>
        <v>0.98002971508477532</v>
      </c>
      <c r="G90" s="39">
        <f t="shared" si="5"/>
        <v>1.1748031496062992</v>
      </c>
      <c r="H90" s="39">
        <f t="shared" si="6"/>
        <v>1.6671875</v>
      </c>
      <c r="I90" s="39">
        <f t="shared" si="7"/>
        <v>0.56943521594684388</v>
      </c>
    </row>
    <row r="91" spans="1:12" x14ac:dyDescent="0.25">
      <c r="A91" s="4">
        <f>IFERROR(INDEX(February!$A$3:$A$273,(ROWS(A$69:A91) *10)-9),"")</f>
        <v>43519</v>
      </c>
      <c r="B91" s="2" t="str">
        <f>IFERROR(INDEX(February!$C$5:$C$275,(ROWS(B$69:B91) *10)-9),"")</f>
        <v>2228.7/2288.4</v>
      </c>
      <c r="C91" s="2" t="str">
        <f>IFERROR(INDEX(February!$D$5:$D$275,(ROWS(B$69:B91) *10)-9),"")</f>
        <v>145.2/127</v>
      </c>
      <c r="D91" s="2" t="str">
        <f>IFERROR(INDEX(February!$E$5:$E$275,(ROWS(B$69:B91) *10)-9),"")</f>
        <v>106.7/64</v>
      </c>
      <c r="E91" s="2" t="str">
        <f>IFERROR(INDEX(February!$F$5:$F$275,(ROWS(B$69:B91) *10)-9),"")</f>
        <v>171.9/301</v>
      </c>
      <c r="F91" s="39">
        <f t="shared" si="4"/>
        <v>0.97391190351337165</v>
      </c>
      <c r="G91" s="39">
        <f t="shared" si="5"/>
        <v>1.1433070866141732</v>
      </c>
      <c r="H91" s="39">
        <f t="shared" si="6"/>
        <v>1.6671875</v>
      </c>
      <c r="I91" s="39">
        <f t="shared" si="7"/>
        <v>0.57109634551495014</v>
      </c>
    </row>
    <row r="92" spans="1:12" x14ac:dyDescent="0.25">
      <c r="A92" s="4">
        <f>IFERROR(INDEX(February!$A$3:$A$273,(ROWS(A$69:A92) *10)-9),"")</f>
        <v>43520</v>
      </c>
      <c r="B92" s="2" t="str">
        <f>IFERROR(INDEX(February!$C$5:$C$275,(ROWS(B$69:B92) *10)-9),"")</f>
        <v>2154/2288.4</v>
      </c>
      <c r="C92" s="2" t="str">
        <f>IFERROR(INDEX(February!$D$5:$D$275,(ROWS(B$69:B92) *10)-9),"")</f>
        <v>117/127</v>
      </c>
      <c r="D92" s="2" t="str">
        <f>IFERROR(INDEX(February!$E$5:$E$275,(ROWS(B$69:B92) *10)-9),"")</f>
        <v>78/64</v>
      </c>
      <c r="E92" s="2" t="str">
        <f>IFERROR(INDEX(February!$F$5:$F$275,(ROWS(B$69:B92) *10)-9),"")</f>
        <v>246/301</v>
      </c>
      <c r="F92" s="39">
        <f t="shared" si="4"/>
        <v>0.94126900891452536</v>
      </c>
      <c r="G92" s="39">
        <f t="shared" si="5"/>
        <v>0.92125984251968507</v>
      </c>
      <c r="H92" s="39">
        <f t="shared" si="6"/>
        <v>1.21875</v>
      </c>
      <c r="I92" s="39">
        <f t="shared" si="7"/>
        <v>0.81727574750830567</v>
      </c>
    </row>
    <row r="93" spans="1:12" x14ac:dyDescent="0.25">
      <c r="A93" s="4">
        <f>IFERROR(INDEX(February!$A$3:$A$273,(ROWS(A$69:A93) *10)-9),"")</f>
        <v>43521</v>
      </c>
      <c r="B93" s="2" t="str">
        <f>IFERROR(INDEX(February!$C$5:$C$275,(ROWS(B$69:B93) *10)-9),"")</f>
        <v>1990.1/2307.6</v>
      </c>
      <c r="C93" s="2" t="str">
        <f>IFERROR(INDEX(February!$D$5:$D$275,(ROWS(B$69:B93) *10)-9),"")</f>
        <v>197.9/129</v>
      </c>
      <c r="D93" s="2" t="str">
        <f>IFERROR(INDEX(February!$E$5:$E$275,(ROWS(B$69:B93) *10)-9),"")</f>
        <v>48.9/64</v>
      </c>
      <c r="E93" s="2" t="str">
        <f>IFERROR(INDEX(February!$F$5:$F$275,(ROWS(B$69:B93) *10)-9),"")</f>
        <v>189.6/304</v>
      </c>
      <c r="F93" s="39">
        <f t="shared" si="4"/>
        <v>0.86241116311319121</v>
      </c>
      <c r="G93" s="39">
        <f t="shared" si="5"/>
        <v>1.5341085271317829</v>
      </c>
      <c r="H93" s="39">
        <f t="shared" si="6"/>
        <v>0.76406249999999998</v>
      </c>
      <c r="I93" s="39">
        <f t="shared" si="7"/>
        <v>0.62368421052631573</v>
      </c>
    </row>
    <row r="94" spans="1:12" x14ac:dyDescent="0.25">
      <c r="A94" s="4">
        <f>IFERROR(INDEX(February!$A$3:$A$273,(ROWS(A$69:A94) *10)-9),"")</f>
        <v>43522</v>
      </c>
      <c r="B94" s="2" t="str">
        <f>IFERROR(INDEX(February!$C$5:$C$275,(ROWS(B$69:B94) *10)-9),"")</f>
        <v>2517.45/2307.6</v>
      </c>
      <c r="C94" s="2" t="str">
        <f>IFERROR(INDEX(February!$D$5:$D$275,(ROWS(B$69:B94) *10)-9),"")</f>
        <v>109.8/129</v>
      </c>
      <c r="D94" s="2" t="str">
        <f>IFERROR(INDEX(February!$E$5:$E$275,(ROWS(B$69:B94) *10)-9),"")</f>
        <v>127.45/64</v>
      </c>
      <c r="E94" s="2" t="str">
        <f>IFERROR(INDEX(February!$F$5:$F$275,(ROWS(B$69:B94) *10)-9),"")</f>
        <v>232.8/304</v>
      </c>
      <c r="F94" s="39">
        <f t="shared" si="4"/>
        <v>1.0909386375455017</v>
      </c>
      <c r="G94" s="39">
        <f t="shared" si="5"/>
        <v>0.85116279069767442</v>
      </c>
      <c r="H94" s="39">
        <f t="shared" si="6"/>
        <v>1.99140625</v>
      </c>
      <c r="I94" s="39">
        <f t="shared" si="7"/>
        <v>0.76578947368421058</v>
      </c>
    </row>
    <row r="95" spans="1:12" x14ac:dyDescent="0.25">
      <c r="A95" s="4">
        <f>IFERROR(INDEX(February!$A$3:$A$273,(ROWS(A$69:A95) *10)-9),"")</f>
        <v>43523</v>
      </c>
      <c r="B95" s="2" t="str">
        <f>IFERROR(INDEX(February!$C$5:$C$275,(ROWS(B$69:B95) *10)-9),"")</f>
        <v>2758.75/2307.6</v>
      </c>
      <c r="C95" s="2" t="str">
        <f>IFERROR(INDEX(February!$D$5:$D$275,(ROWS(B$69:B95) *10)-9),"")</f>
        <v>149.95/129</v>
      </c>
      <c r="D95" s="2" t="str">
        <f>IFERROR(INDEX(February!$E$5:$E$275,(ROWS(B$69:B95) *10)-9),"")</f>
        <v>110.15/64</v>
      </c>
      <c r="E95" s="2" t="str">
        <f>IFERROR(INDEX(February!$F$5:$F$275,(ROWS(B$69:B95) *10)-9),"")</f>
        <v>291.9/304</v>
      </c>
      <c r="F95" s="39">
        <f t="shared" si="4"/>
        <v>1.1955061535794766</v>
      </c>
      <c r="G95" s="39">
        <f t="shared" si="5"/>
        <v>1.1624031007751938</v>
      </c>
      <c r="H95" s="39">
        <f t="shared" si="6"/>
        <v>1.7210937500000001</v>
      </c>
      <c r="I95" s="39">
        <f t="shared" si="7"/>
        <v>0.96019736842105252</v>
      </c>
    </row>
    <row r="96" spans="1:12" x14ac:dyDescent="0.25">
      <c r="A96" s="4">
        <f>IFERROR(INDEX(February!$A$3:$A$273,(ROWS(A$69:A96) *10)-9),"")</f>
        <v>43524</v>
      </c>
      <c r="B96" s="2" t="str">
        <f>IFERROR(INDEX(February!$C$5:$C$275,(ROWS(B$69:B96) *10)-9),"")</f>
        <v>1583.25/2307.6</v>
      </c>
      <c r="C96" s="2" t="str">
        <f>IFERROR(INDEX(February!$D$5:$D$275,(ROWS(B$69:B96) *10)-9),"")</f>
        <v>99.75/129</v>
      </c>
      <c r="D96" s="2" t="str">
        <f>IFERROR(INDEX(February!$E$5:$E$275,(ROWS(B$69:B96) *10)-9),"")</f>
        <v>70.25/64</v>
      </c>
      <c r="E96" s="2" t="str">
        <f>IFERROR(INDEX(February!$F$5:$F$275,(ROWS(B$69:B96) *10)-9),"")</f>
        <v>138/304</v>
      </c>
      <c r="F96" s="39">
        <f t="shared" si="4"/>
        <v>0.68610244409776389</v>
      </c>
      <c r="G96" s="39">
        <f t="shared" si="5"/>
        <v>0.77325581395348841</v>
      </c>
      <c r="H96" s="39">
        <f t="shared" si="6"/>
        <v>1.09765625</v>
      </c>
      <c r="I96" s="39">
        <f t="shared" si="7"/>
        <v>0.45394736842105265</v>
      </c>
    </row>
    <row r="97" spans="1:12" x14ac:dyDescent="0.25">
      <c r="A97" s="4"/>
    </row>
    <row r="98" spans="1:12" ht="18" thickBot="1" x14ac:dyDescent="0.35">
      <c r="A98" s="4"/>
      <c r="K98" s="11" t="s">
        <v>115</v>
      </c>
      <c r="L98" s="44"/>
    </row>
    <row r="99" spans="1:12" ht="15.75" thickTop="1" x14ac:dyDescent="0.25">
      <c r="A99" s="4"/>
      <c r="K99" s="2" t="s">
        <v>112</v>
      </c>
      <c r="L99" s="39">
        <f>AVERAGE(F79:F96)</f>
        <v>0.92478828001603097</v>
      </c>
    </row>
    <row r="100" spans="1:12" x14ac:dyDescent="0.25">
      <c r="A100" s="4"/>
      <c r="K100" s="2" t="s">
        <v>111</v>
      </c>
      <c r="L100" s="39">
        <f>MAX(F79:F96)</f>
        <v>1.2262619669277632</v>
      </c>
    </row>
    <row r="101" spans="1:12" x14ac:dyDescent="0.25">
      <c r="A101" s="4"/>
      <c r="K101" s="2" t="s">
        <v>110</v>
      </c>
      <c r="L101" s="39">
        <f>MIN(F79:F96)</f>
        <v>0.68610244409776389</v>
      </c>
    </row>
    <row r="102" spans="1:12" x14ac:dyDescent="0.25">
      <c r="K102" s="2" t="s">
        <v>109</v>
      </c>
      <c r="L102" s="2">
        <f>ROUND(_xlfn.STDEV.S(F79:F96),3)</f>
        <v>0.14199999999999999</v>
      </c>
    </row>
    <row r="104" spans="1:12" ht="18" thickBot="1" x14ac:dyDescent="0.35">
      <c r="K104" s="11" t="s">
        <v>108</v>
      </c>
      <c r="L104" s="44"/>
    </row>
    <row r="105" spans="1:12" ht="15.75" thickTop="1" x14ac:dyDescent="0.25">
      <c r="K105" s="2" t="s">
        <v>112</v>
      </c>
      <c r="L105" s="39">
        <f>AVERAGE(G79:G96)</f>
        <v>1.0366173920756272</v>
      </c>
    </row>
    <row r="106" spans="1:12" x14ac:dyDescent="0.25">
      <c r="K106" s="2" t="s">
        <v>111</v>
      </c>
      <c r="L106" s="39">
        <f>MAX(G79:G96)</f>
        <v>1.5341085271317829</v>
      </c>
    </row>
    <row r="107" spans="1:12" x14ac:dyDescent="0.25">
      <c r="K107" s="2" t="s">
        <v>110</v>
      </c>
      <c r="L107" s="39">
        <f>MIN(G79:G96)</f>
        <v>0.70546874999999998</v>
      </c>
    </row>
    <row r="108" spans="1:12" x14ac:dyDescent="0.25">
      <c r="K108" s="2" t="s">
        <v>109</v>
      </c>
      <c r="L108" s="2">
        <f>ROUND(_xlfn.STDEV.S(G79:G96),3)</f>
        <v>0.224</v>
      </c>
    </row>
    <row r="110" spans="1:12" ht="18" thickBot="1" x14ac:dyDescent="0.35">
      <c r="K110" s="11" t="s">
        <v>113</v>
      </c>
      <c r="L110" s="44"/>
    </row>
    <row r="111" spans="1:12" ht="15.75" thickTop="1" x14ac:dyDescent="0.25">
      <c r="K111" s="2" t="s">
        <v>112</v>
      </c>
      <c r="L111" s="39">
        <f>AVERAGE(H79:H96)</f>
        <v>1.353486979166667</v>
      </c>
    </row>
    <row r="112" spans="1:12" x14ac:dyDescent="0.25">
      <c r="K112" s="2" t="s">
        <v>111</v>
      </c>
      <c r="L112" s="39">
        <f>MAX(H79:H96)</f>
        <v>1.99140625</v>
      </c>
    </row>
    <row r="113" spans="11:12" x14ac:dyDescent="0.25">
      <c r="K113" s="2" t="s">
        <v>110</v>
      </c>
      <c r="L113" s="39">
        <f>MIN(H79:H96)</f>
        <v>0.76406249999999998</v>
      </c>
    </row>
    <row r="114" spans="11:12" x14ac:dyDescent="0.25">
      <c r="K114" s="2" t="s">
        <v>109</v>
      </c>
      <c r="L114" s="2">
        <f>ROUND(_xlfn.STDEV.S(H79:H96),3)</f>
        <v>0.33800000000000002</v>
      </c>
    </row>
    <row r="116" spans="11:12" ht="18" thickBot="1" x14ac:dyDescent="0.35">
      <c r="K116" s="11" t="s">
        <v>114</v>
      </c>
      <c r="L116" s="44"/>
    </row>
    <row r="117" spans="11:12" ht="15.75" thickTop="1" x14ac:dyDescent="0.25">
      <c r="K117" s="2" t="s">
        <v>112</v>
      </c>
      <c r="L117" s="39">
        <f>AVERAGE(I79:I96)</f>
        <v>0.67293764633428432</v>
      </c>
    </row>
    <row r="118" spans="11:12" x14ac:dyDescent="0.25">
      <c r="K118" s="2" t="s">
        <v>111</v>
      </c>
      <c r="L118" s="39">
        <f>MAX(I79:I96)</f>
        <v>1.0854785478547855</v>
      </c>
    </row>
    <row r="119" spans="11:12" x14ac:dyDescent="0.25">
      <c r="K119" s="2" t="s">
        <v>110</v>
      </c>
      <c r="L119" s="39">
        <f>MIN(I79:I96)</f>
        <v>0.45394736842105265</v>
      </c>
    </row>
    <row r="120" spans="11:12" x14ac:dyDescent="0.25">
      <c r="K120" s="2" t="s">
        <v>109</v>
      </c>
      <c r="L120" s="2">
        <f>ROUND(_xlfn.STDEV.S(I79:I96),3)</f>
        <v>0.16</v>
      </c>
    </row>
  </sheetData>
  <pageMargins left="0.7" right="0.7" top="0.75" bottom="0.75" header="0.3" footer="0.3"/>
  <pageSetup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59386-844D-4C1E-A98C-F25D4B831022}">
  <sheetPr codeName="Sheet7"/>
  <dimension ref="A1:P1048576"/>
  <sheetViews>
    <sheetView tabSelected="1" topLeftCell="A22" workbookViewId="0">
      <selection activeCell="C1" sqref="C1"/>
    </sheetView>
  </sheetViews>
  <sheetFormatPr defaultRowHeight="15" x14ac:dyDescent="0.25"/>
  <cols>
    <col min="1" max="8" width="25.7109375" customWidth="1"/>
    <col min="9" max="11" width="18.7109375" customWidth="1"/>
    <col min="12" max="12" width="9.140625" customWidth="1"/>
    <col min="13" max="13" width="13.5703125" customWidth="1"/>
    <col min="14" max="14" width="10.7109375" customWidth="1"/>
    <col min="15" max="15" width="9.7109375" customWidth="1"/>
  </cols>
  <sheetData>
    <row r="1" spans="1:16" ht="28.5" x14ac:dyDescent="0.45">
      <c r="A1" s="33" t="s">
        <v>39</v>
      </c>
      <c r="B1" s="34"/>
      <c r="C1" s="43"/>
      <c r="D1" s="34"/>
      <c r="E1" s="34"/>
      <c r="F1" s="34"/>
      <c r="G1" s="34"/>
      <c r="H1" s="34"/>
      <c r="I1" s="34"/>
      <c r="J1" s="34"/>
      <c r="K1" s="34"/>
      <c r="L1" s="34"/>
      <c r="M1" s="34"/>
      <c r="N1" s="34"/>
      <c r="O1" s="34"/>
      <c r="P1" s="34"/>
    </row>
    <row r="2" spans="1:16" x14ac:dyDescent="0.25">
      <c r="A2" s="34"/>
      <c r="B2" s="34"/>
      <c r="C2" s="34"/>
      <c r="D2" s="34"/>
      <c r="E2" s="34"/>
      <c r="F2" s="34"/>
      <c r="G2" s="34"/>
      <c r="H2" s="34"/>
      <c r="I2" s="34"/>
      <c r="J2" s="34"/>
      <c r="K2" s="34"/>
      <c r="L2" s="34"/>
      <c r="M2" s="34"/>
      <c r="N2" s="34"/>
      <c r="O2" s="34"/>
      <c r="P2" s="34"/>
    </row>
    <row r="3" spans="1:16" ht="23.25" x14ac:dyDescent="0.35">
      <c r="A3" s="35" t="s">
        <v>40</v>
      </c>
      <c r="B3" s="34"/>
      <c r="C3" s="34"/>
      <c r="D3" s="34"/>
      <c r="E3" s="34"/>
      <c r="F3" s="34"/>
      <c r="G3" s="34"/>
      <c r="H3" s="34"/>
      <c r="I3" s="34"/>
      <c r="J3" s="34"/>
      <c r="K3" s="34"/>
      <c r="L3" s="34"/>
      <c r="M3" s="34"/>
      <c r="N3" s="34"/>
      <c r="O3" s="34"/>
      <c r="P3" s="34"/>
    </row>
    <row r="4" spans="1:16" ht="18" thickBot="1" x14ac:dyDescent="0.35">
      <c r="A4" s="3" t="s">
        <v>48</v>
      </c>
      <c r="B4" s="3" t="s">
        <v>0</v>
      </c>
      <c r="C4" s="3" t="s">
        <v>36</v>
      </c>
      <c r="D4" s="3" t="s">
        <v>8</v>
      </c>
      <c r="E4" s="5" t="s">
        <v>9</v>
      </c>
      <c r="F4" s="5" t="s">
        <v>10</v>
      </c>
      <c r="G4" s="36"/>
      <c r="H4" s="37"/>
      <c r="I4" s="34"/>
      <c r="J4" s="34"/>
      <c r="K4" s="34"/>
      <c r="L4" s="34"/>
      <c r="M4" s="36"/>
      <c r="N4" s="38" t="s">
        <v>8</v>
      </c>
      <c r="O4" s="38" t="s">
        <v>9</v>
      </c>
      <c r="P4" s="38" t="s">
        <v>10</v>
      </c>
    </row>
    <row r="5" spans="1:16" ht="15.75" thickTop="1" x14ac:dyDescent="0.25">
      <c r="A5" s="18"/>
      <c r="B5" s="16" t="str">
        <f>IFERROR(VLOOKUP(A5,OverviewTable[],2,FALSE),"?")</f>
        <v>?</v>
      </c>
      <c r="C5" s="16" t="str">
        <f>((N10 * 4) + (O10 * 9) + (P10 * 4))&amp;"/"&amp;IFERROR(VLOOKUP(A5,OverviewTable[],11,FALSE),"?")</f>
        <v>0/?</v>
      </c>
      <c r="D5" s="16" t="str">
        <f>N10&amp;"/"&amp;IFERROR(VLOOKUP(A5,OverviewTable[],12,FALSE),"?")</f>
        <v>0/?</v>
      </c>
      <c r="E5" s="16" t="str">
        <f>O10&amp;"/"&amp;IFERROR(VLOOKUP(A5,OverviewTable[],13,FALSE),"?")</f>
        <v>0/?</v>
      </c>
      <c r="F5" s="16" t="str">
        <f>P10&amp;"/"&amp;IFERROR(VLOOKUP(A5,OverviewTable[],14,FALSE),"?")</f>
        <v>0/?</v>
      </c>
      <c r="G5" s="37"/>
      <c r="H5" s="37"/>
      <c r="I5" s="34"/>
      <c r="J5" s="34"/>
      <c r="K5" s="34"/>
      <c r="L5" s="34"/>
      <c r="M5" s="38" t="s">
        <v>6</v>
      </c>
      <c r="N5" s="38">
        <f>(A8 * IFERROR(VLOOKUP(B8,BreakfastTable[],2,FALSE),0)) + (A9 * IFERROR(VLOOKUP(B9,BreakfastTable[],2,FALSE),0)) + (A10 * IFERROR(VLOOKUP(B10,BreakfastTable[],2,FALSE),0)) + (A11 * IFERROR(VLOOKUP(B11,BreakfastTable[],2,FALSE),0))</f>
        <v>0</v>
      </c>
      <c r="O5" s="38">
        <f>(A8 * IFERROR(VLOOKUP(B8,BreakfastTable[],3,FALSE),0)) + (A9 * IFERROR(VLOOKUP(B9,BreakfastTable[],3,FALSE),0)) + (A10 * IFERROR(VLOOKUP(B10,BreakfastTable[],3,FALSE),0)) + (A11 * IFERROR(VLOOKUP(B11,BreakfastTable[],3,FALSE),0))</f>
        <v>0</v>
      </c>
      <c r="P5" s="38">
        <f>(A8 * IFERROR(VLOOKUP(B8,BreakfastTable[],4,FALSE),0)) + (A9 * IFERROR(VLOOKUP(B9,BreakfastTable[],4,FALSE),0)) + (A10 * IFERROR(VLOOKUP(B10,BreakfastTable[],4,FALSE),0)) + (A11 * IFERROR(VLOOKUP(B11,BreakfastTable[],4,FALSE),0))</f>
        <v>0</v>
      </c>
    </row>
    <row r="6" spans="1:16" x14ac:dyDescent="0.25">
      <c r="A6" s="17"/>
      <c r="B6" s="17"/>
      <c r="C6" s="17"/>
      <c r="D6" s="17"/>
      <c r="E6" s="17"/>
      <c r="F6" s="17"/>
      <c r="G6" s="37"/>
      <c r="H6" s="37"/>
      <c r="I6" s="34"/>
      <c r="J6" s="34"/>
      <c r="K6" s="34"/>
      <c r="L6" s="34"/>
      <c r="M6" s="38" t="s">
        <v>11</v>
      </c>
      <c r="N6" s="38">
        <f>(C8 * IFERROR(VLOOKUP(D8,LunchTable[],2,FALSE),0)) + (C9 * IFERROR(VLOOKUP(D9,LunchTable[],2,FALSE),0)) + (C10 * IFERROR(VLOOKUP(D10,LunchTable[],2,FALSE),0)) + (C11 * IFERROR(VLOOKUP(D11,LunchTable[],2,FALSE),0))</f>
        <v>0</v>
      </c>
      <c r="O6" s="38">
        <f>(C8 * IFERROR(VLOOKUP(D8,LunchTable[],3,FALSE),0)) + (C9 * IFERROR(VLOOKUP(D9,LunchTable[],3,FALSE),0)) + (C10 * IFERROR(VLOOKUP(D10,LunchTable[],3,FALSE),0)) + (C11 * IFERROR(VLOOKUP(D11,LunchTable[],3,FALSE),0))</f>
        <v>0</v>
      </c>
      <c r="P6" s="38">
        <f>(C8 * IFERROR(VLOOKUP(D8,LunchTable[],4,FALSE),0)) + (C9 * IFERROR(VLOOKUP(D9,LunchTable[],4,FALSE),0)) + (C10 * IFERROR(VLOOKUP(D10,LunchTable[],4,FALSE),0)) + (C11 * IFERROR(VLOOKUP(D11,LunchTable[],4,FALSE),0))</f>
        <v>0</v>
      </c>
    </row>
    <row r="7" spans="1:16" ht="18" thickBot="1" x14ac:dyDescent="0.35">
      <c r="A7" s="10" t="s">
        <v>34</v>
      </c>
      <c r="B7" s="11" t="s">
        <v>6</v>
      </c>
      <c r="C7" s="10" t="s">
        <v>34</v>
      </c>
      <c r="D7" s="11" t="s">
        <v>11</v>
      </c>
      <c r="E7" s="10" t="s">
        <v>34</v>
      </c>
      <c r="F7" s="11" t="s">
        <v>12</v>
      </c>
      <c r="G7" s="10" t="s">
        <v>34</v>
      </c>
      <c r="H7" s="12" t="s">
        <v>35</v>
      </c>
      <c r="I7" s="5" t="s">
        <v>41</v>
      </c>
      <c r="J7" s="5" t="s">
        <v>42</v>
      </c>
      <c r="K7" s="5" t="s">
        <v>43</v>
      </c>
      <c r="L7" s="34"/>
      <c r="M7" s="38" t="s">
        <v>12</v>
      </c>
      <c r="N7" s="38">
        <f>(E8 * IFERROR(VLOOKUP(F8,DinnerTable[],2,FALSE),0)) + (E9 * IFERROR(VLOOKUP(F9,DinnerTable[],2,FALSE),0)) + (E10 * IFERROR(VLOOKUP(F10,DinnerTable[],2,FALSE),0)) + (E11 * IFERROR(VLOOKUP(F11,DinnerTable[],2,FALSE),0))</f>
        <v>0</v>
      </c>
      <c r="O7" s="38">
        <f>(E8 * IFERROR(VLOOKUP(F8,DinnerTable[],3,FALSE),0)) + (E9 * IFERROR(VLOOKUP(F9,DinnerTable[],3,FALSE),0)) + (E10 * IFERROR(VLOOKUP(F10,DinnerTable[],3,FALSE),0)) + (E11 * IFERROR(VLOOKUP(F11,DinnerTable[],3,FALSE),0))</f>
        <v>0</v>
      </c>
      <c r="P7" s="38">
        <f>(E8 * IFERROR(VLOOKUP(F8,DinnerTable[],4,FALSE),0)) + (E9 * IFERROR(VLOOKUP(F9,DinnerTable[],4,FALSE),0)) + (E10 * IFERROR(VLOOKUP(F10,DinnerTable[],4,FALSE),0)) + (E11 * IFERROR(VLOOKUP(F11,DinnerTable[],4,FALSE),0))</f>
        <v>0</v>
      </c>
    </row>
    <row r="8" spans="1:16" ht="15.75" thickTop="1" x14ac:dyDescent="0.25">
      <c r="A8" s="17"/>
      <c r="B8" s="17"/>
      <c r="C8" s="17"/>
      <c r="D8" s="17"/>
      <c r="E8" s="17"/>
      <c r="F8" s="17"/>
      <c r="G8" s="17"/>
      <c r="H8" s="17"/>
      <c r="I8" s="2"/>
      <c r="J8" s="2"/>
      <c r="K8" s="2"/>
      <c r="L8" s="34"/>
      <c r="M8" s="38" t="s">
        <v>35</v>
      </c>
      <c r="N8" s="38">
        <f>(G8 * IFERROR(VLOOKUP(H8,PostWorkoutTable[],2,FALSE),0)) + (G9 * IFERROR(VLOOKUP(H9,PostWorkoutTable[],2,FALSE),0)) + (G10 * IFERROR(VLOOKUP(H10,PostWorkoutTable[],2,FALSE),0)) + (G11 * IFERROR(VLOOKUP(H11,PostWorkoutTable[],2,FALSE),0))</f>
        <v>0</v>
      </c>
      <c r="O8" s="38">
        <f>(G8 * IFERROR(VLOOKUP(H8,PostWorkoutTable[],3,FALSE),0)) + (G9 * IFERROR(VLOOKUP(H9,PostWorkoutTable[],3,FALSE),0)) + (G10 * IFERROR(VLOOKUP(H10,PostWorkoutTable[],3,FALSE),0)) + (G11 * IFERROR(VLOOKUP(H11,PostWorkoutTable[],3,FALSE),0))</f>
        <v>0</v>
      </c>
      <c r="P8" s="38">
        <f>(G8 * IFERROR(VLOOKUP(H8,PostWorkoutTable[],4,FALSE),0)) + (G9 * IFERROR(VLOOKUP(H9,PostWorkoutTable[],4,FALSE),0)) + (G10 * IFERROR(VLOOKUP(H10,PostWorkoutTable[],4,FALSE),0)) + (G11 * IFERROR(VLOOKUP(H11,PostWorkoutTable[],4,FALSE),0))</f>
        <v>0</v>
      </c>
    </row>
    <row r="9" spans="1:16" x14ac:dyDescent="0.25">
      <c r="A9" s="17"/>
      <c r="B9" s="17"/>
      <c r="C9" s="17"/>
      <c r="D9" s="17"/>
      <c r="E9" s="17"/>
      <c r="F9" s="17"/>
      <c r="G9" s="17"/>
      <c r="H9" s="17"/>
      <c r="I9" s="2"/>
      <c r="J9" s="2"/>
      <c r="K9" s="2"/>
      <c r="L9" s="34"/>
      <c r="M9" s="38" t="s">
        <v>21</v>
      </c>
      <c r="N9" s="38">
        <f xml:space="preserve"> SUM(I8:I11)</f>
        <v>0</v>
      </c>
      <c r="O9" s="38">
        <f>SUM(J8:J11)</f>
        <v>0</v>
      </c>
      <c r="P9" s="38">
        <f>SUM(K8:K11)</f>
        <v>0</v>
      </c>
    </row>
    <row r="10" spans="1:16" x14ac:dyDescent="0.25">
      <c r="A10" s="17"/>
      <c r="B10" s="17"/>
      <c r="C10" s="17"/>
      <c r="D10" s="17"/>
      <c r="E10" s="17"/>
      <c r="F10" s="17"/>
      <c r="G10" s="17"/>
      <c r="H10" s="17"/>
      <c r="I10" s="2"/>
      <c r="J10" s="2"/>
      <c r="K10" s="2"/>
      <c r="L10" s="34"/>
      <c r="M10" s="38" t="s">
        <v>38</v>
      </c>
      <c r="N10" s="38">
        <f>SUM(N5:N9)</f>
        <v>0</v>
      </c>
      <c r="O10" s="38">
        <f>SUM(O5:O9)</f>
        <v>0</v>
      </c>
      <c r="P10" s="38">
        <f>SUM(P5:P9)</f>
        <v>0</v>
      </c>
    </row>
    <row r="11" spans="1:16" x14ac:dyDescent="0.25">
      <c r="A11" s="17"/>
      <c r="B11" s="17"/>
      <c r="C11" s="17"/>
      <c r="D11" s="17"/>
      <c r="E11" s="17"/>
      <c r="F11" s="17"/>
      <c r="G11" s="17"/>
      <c r="H11" s="17"/>
      <c r="I11" s="2"/>
      <c r="J11" s="2"/>
      <c r="K11" s="2"/>
      <c r="L11" s="34"/>
      <c r="M11" s="34"/>
      <c r="N11" s="34"/>
      <c r="O11" s="34"/>
      <c r="P11" s="34"/>
    </row>
    <row r="12" spans="1:16" x14ac:dyDescent="0.25">
      <c r="A12" s="34"/>
      <c r="B12" s="34"/>
      <c r="C12" s="34"/>
      <c r="D12" s="34"/>
      <c r="E12" s="34"/>
      <c r="F12" s="34"/>
      <c r="G12" s="34"/>
      <c r="H12" s="34"/>
      <c r="I12" s="34"/>
      <c r="J12" s="34"/>
      <c r="K12" s="34"/>
      <c r="L12" s="34"/>
      <c r="M12" s="34"/>
      <c r="N12" s="34"/>
      <c r="O12" s="34"/>
      <c r="P12" s="34"/>
    </row>
    <row r="13" spans="1:16" ht="23.25" x14ac:dyDescent="0.35">
      <c r="A13" s="35" t="s">
        <v>40</v>
      </c>
      <c r="B13" s="34"/>
      <c r="C13" s="34"/>
      <c r="D13" s="34"/>
      <c r="E13" s="34"/>
      <c r="F13" s="34"/>
      <c r="G13" s="34"/>
      <c r="H13" s="34"/>
      <c r="I13" s="34"/>
      <c r="J13" s="34"/>
      <c r="K13" s="34"/>
      <c r="L13" s="34"/>
      <c r="M13" s="34"/>
      <c r="N13" s="34"/>
      <c r="O13" s="34"/>
      <c r="P13" s="34"/>
    </row>
    <row r="14" spans="1:16" ht="18" thickBot="1" x14ac:dyDescent="0.35">
      <c r="A14" s="3" t="s">
        <v>48</v>
      </c>
      <c r="B14" s="3" t="s">
        <v>0</v>
      </c>
      <c r="C14" s="3" t="s">
        <v>36</v>
      </c>
      <c r="D14" s="3" t="s">
        <v>8</v>
      </c>
      <c r="E14" s="5" t="s">
        <v>9</v>
      </c>
      <c r="F14" s="5" t="s">
        <v>10</v>
      </c>
      <c r="G14" s="36"/>
      <c r="H14" s="37"/>
      <c r="I14" s="34"/>
      <c r="J14" s="34"/>
      <c r="K14" s="34"/>
      <c r="L14" s="34"/>
      <c r="M14" s="36"/>
      <c r="N14" s="38" t="s">
        <v>8</v>
      </c>
      <c r="O14" s="38" t="s">
        <v>9</v>
      </c>
      <c r="P14" s="38" t="s">
        <v>10</v>
      </c>
    </row>
    <row r="15" spans="1:16" ht="15.75" thickTop="1" x14ac:dyDescent="0.25">
      <c r="A15" s="18"/>
      <c r="B15" s="16" t="str">
        <f>IFERROR(VLOOKUP(A15,OverviewTable[],2,FALSE),"?")</f>
        <v>?</v>
      </c>
      <c r="C15" s="16" t="str">
        <f>((N20 * 4) + (O20 * 9) + (P20 * 4))&amp;"/"&amp;IFERROR(VLOOKUP(A15,OverviewTable[],11,FALSE),"?")</f>
        <v>0/?</v>
      </c>
      <c r="D15" s="16" t="str">
        <f>N20&amp;"/"&amp;IFERROR(VLOOKUP(A15,OverviewTable[],12,FALSE),"?")</f>
        <v>0/?</v>
      </c>
      <c r="E15" s="16" t="str">
        <f>O20&amp;"/"&amp;IFERROR(VLOOKUP(A15,OverviewTable[],13,FALSE),"?")</f>
        <v>0/?</v>
      </c>
      <c r="F15" s="16" t="str">
        <f>P20&amp;"/"&amp;IFERROR(VLOOKUP(A15,OverviewTable[],14,FALSE),"?")</f>
        <v>0/?</v>
      </c>
      <c r="G15" s="37"/>
      <c r="H15" s="37"/>
      <c r="I15" s="34"/>
      <c r="J15" s="34"/>
      <c r="K15" s="34"/>
      <c r="L15" s="34"/>
      <c r="M15" s="38" t="s">
        <v>6</v>
      </c>
      <c r="N15" s="38">
        <f>(A18 * IFERROR(VLOOKUP(B18,BreakfastTable[],2,FALSE),0)) + (A19 * IFERROR(VLOOKUP(B19,BreakfastTable[],2,FALSE),0)) + (A20 * IFERROR(VLOOKUP(B20,BreakfastTable[],2,FALSE),0)) + (A21 * IFERROR(VLOOKUP(B21,BreakfastTable[],2,FALSE),0))</f>
        <v>0</v>
      </c>
      <c r="O15" s="38">
        <f>(A18 * IFERROR(VLOOKUP(B18,BreakfastTable[],3,FALSE),0)) + (A19 * IFERROR(VLOOKUP(B19,BreakfastTable[],3,FALSE),0)) + (A20 * IFERROR(VLOOKUP(B20,BreakfastTable[],3,FALSE),0)) + (A21 * IFERROR(VLOOKUP(B21,BreakfastTable[],3,FALSE),0))</f>
        <v>0</v>
      </c>
      <c r="P15" s="38">
        <f>(A18 * IFERROR(VLOOKUP(B18,BreakfastTable[],4,FALSE),0)) + (A19 * IFERROR(VLOOKUP(B19,BreakfastTable[],4,FALSE),0)) + (A20 * IFERROR(VLOOKUP(B20,BreakfastTable[],4,FALSE),0)) + (A21 * IFERROR(VLOOKUP(B21,BreakfastTable[],4,FALSE),0))</f>
        <v>0</v>
      </c>
    </row>
    <row r="16" spans="1:16" x14ac:dyDescent="0.25">
      <c r="A16" s="17"/>
      <c r="B16" s="17"/>
      <c r="C16" s="17"/>
      <c r="D16" s="17"/>
      <c r="E16" s="17"/>
      <c r="F16" s="17"/>
      <c r="G16" s="37"/>
      <c r="H16" s="37"/>
      <c r="I16" s="34"/>
      <c r="J16" s="34"/>
      <c r="K16" s="34"/>
      <c r="L16" s="34"/>
      <c r="M16" s="38" t="s">
        <v>11</v>
      </c>
      <c r="N16" s="38">
        <f>(C18 * IFERROR(VLOOKUP(D18,LunchTable[],2,FALSE),0)) + (C19 * IFERROR(VLOOKUP(D19,LunchTable[],2,FALSE),0)) + (C20 * IFERROR(VLOOKUP(D20,LunchTable[],2,FALSE),0)) + (C21 * IFERROR(VLOOKUP(D21,LunchTable[],2,FALSE),0))</f>
        <v>0</v>
      </c>
      <c r="O16" s="38">
        <f>(C18 * IFERROR(VLOOKUP(D18,LunchTable[],3,FALSE),0)) + (C19 * IFERROR(VLOOKUP(D19,LunchTable[],3,FALSE),0)) + (C20 * IFERROR(VLOOKUP(D20,LunchTable[],3,FALSE),0)) + (C21 * IFERROR(VLOOKUP(D21,LunchTable[],3,FALSE),0))</f>
        <v>0</v>
      </c>
      <c r="P16" s="38">
        <f>(C18 * IFERROR(VLOOKUP(D18,LunchTable[],4,FALSE),0)) + (C19 * IFERROR(VLOOKUP(D19,LunchTable[],4,FALSE),0)) + (C20 * IFERROR(VLOOKUP(D20,LunchTable[],4,FALSE),0)) + (C21 * IFERROR(VLOOKUP(D21,LunchTable[],4,FALSE),0))</f>
        <v>0</v>
      </c>
    </row>
    <row r="17" spans="1:16" ht="18" thickBot="1" x14ac:dyDescent="0.35">
      <c r="A17" s="10" t="s">
        <v>34</v>
      </c>
      <c r="B17" s="11" t="s">
        <v>6</v>
      </c>
      <c r="C17" s="10" t="s">
        <v>34</v>
      </c>
      <c r="D17" s="11" t="s">
        <v>11</v>
      </c>
      <c r="E17" s="10" t="s">
        <v>34</v>
      </c>
      <c r="F17" s="11" t="s">
        <v>12</v>
      </c>
      <c r="G17" s="10" t="s">
        <v>34</v>
      </c>
      <c r="H17" s="12" t="s">
        <v>35</v>
      </c>
      <c r="I17" s="5" t="s">
        <v>41</v>
      </c>
      <c r="J17" s="5" t="s">
        <v>42</v>
      </c>
      <c r="K17" s="5" t="s">
        <v>43</v>
      </c>
      <c r="L17" s="34"/>
      <c r="M17" s="38" t="s">
        <v>12</v>
      </c>
      <c r="N17" s="38">
        <f>(E18 * IFERROR(VLOOKUP(F18,DinnerTable[],2,FALSE),0)) + (E19 * IFERROR(VLOOKUP(F19,DinnerTable[],2,FALSE),0)) + (E20 * IFERROR(VLOOKUP(F20,DinnerTable[],2,FALSE),0)) + (E21 * IFERROR(VLOOKUP(F21,DinnerTable[],2,FALSE),0))</f>
        <v>0</v>
      </c>
      <c r="O17" s="38">
        <f>(E18 * IFERROR(VLOOKUP(F18,DinnerTable[],3,FALSE),0)) + (E19 * IFERROR(VLOOKUP(F19,DinnerTable[],3,FALSE),0)) + (E20 * IFERROR(VLOOKUP(F20,DinnerTable[],3,FALSE),0)) + (E21 * IFERROR(VLOOKUP(F21,DinnerTable[],3,FALSE),0))</f>
        <v>0</v>
      </c>
      <c r="P17" s="38">
        <f>(E18 * IFERROR(VLOOKUP(F18,DinnerTable[],4,FALSE),0)) + (E19 * IFERROR(VLOOKUP(F19,DinnerTable[],4,FALSE),0)) + (E20 * IFERROR(VLOOKUP(F20,DinnerTable[],4,FALSE),0)) + (E21 * IFERROR(VLOOKUP(F21,DinnerTable[],4,FALSE),0))</f>
        <v>0</v>
      </c>
    </row>
    <row r="18" spans="1:16" ht="15.75" thickTop="1" x14ac:dyDescent="0.25">
      <c r="A18" s="17"/>
      <c r="B18" s="17"/>
      <c r="C18" s="17"/>
      <c r="D18" s="17"/>
      <c r="E18" s="17"/>
      <c r="F18" s="17"/>
      <c r="G18" s="17"/>
      <c r="H18" s="17"/>
      <c r="I18" s="2"/>
      <c r="J18" s="2"/>
      <c r="K18" s="2"/>
      <c r="L18" s="34"/>
      <c r="M18" s="38" t="s">
        <v>35</v>
      </c>
      <c r="N18" s="38">
        <f>(G18 * IFERROR(VLOOKUP(H18,PostWorkoutTable[],2,FALSE),0)) + (G19 * IFERROR(VLOOKUP(H19,PostWorkoutTable[],2,FALSE),0)) + (G20 * IFERROR(VLOOKUP(H20,PostWorkoutTable[],2,FALSE),0)) + (G21 * IFERROR(VLOOKUP(H21,PostWorkoutTable[],2,FALSE),0))</f>
        <v>0</v>
      </c>
      <c r="O18" s="38">
        <f>(G18 * IFERROR(VLOOKUP(H18,PostWorkoutTable[],3,FALSE),0)) + (G19 * IFERROR(VLOOKUP(H19,PostWorkoutTable[],3,FALSE),0)) + (G20 * IFERROR(VLOOKUP(H20,PostWorkoutTable[],3,FALSE),0)) + (G21 * IFERROR(VLOOKUP(H21,PostWorkoutTable[],3,FALSE),0))</f>
        <v>0</v>
      </c>
      <c r="P18" s="38">
        <f>(G18 * IFERROR(VLOOKUP(H18,PostWorkoutTable[],4,FALSE),0)) + (G19 * IFERROR(VLOOKUP(H19,PostWorkoutTable[],4,FALSE),0)) + (G20 * IFERROR(VLOOKUP(H20,PostWorkoutTable[],4,FALSE),0)) + (G21 * IFERROR(VLOOKUP(H21,PostWorkoutTable[],4,FALSE),0))</f>
        <v>0</v>
      </c>
    </row>
    <row r="19" spans="1:16" x14ac:dyDescent="0.25">
      <c r="A19" s="17"/>
      <c r="B19" s="17"/>
      <c r="C19" s="17"/>
      <c r="D19" s="17"/>
      <c r="E19" s="17"/>
      <c r="F19" s="17"/>
      <c r="G19" s="17"/>
      <c r="H19" s="17"/>
      <c r="I19" s="2"/>
      <c r="J19" s="2"/>
      <c r="K19" s="2"/>
      <c r="L19" s="34"/>
      <c r="M19" s="38" t="s">
        <v>21</v>
      </c>
      <c r="N19" s="38">
        <f xml:space="preserve"> SUM(I18:I21)</f>
        <v>0</v>
      </c>
      <c r="O19" s="38">
        <f>SUM(J18:J21)</f>
        <v>0</v>
      </c>
      <c r="P19" s="38">
        <f>SUM(K18:K21)</f>
        <v>0</v>
      </c>
    </row>
    <row r="20" spans="1:16" x14ac:dyDescent="0.25">
      <c r="A20" s="17"/>
      <c r="B20" s="17"/>
      <c r="C20" s="17"/>
      <c r="D20" s="17"/>
      <c r="E20" s="17"/>
      <c r="F20" s="17"/>
      <c r="G20" s="17"/>
      <c r="H20" s="17"/>
      <c r="I20" s="2"/>
      <c r="J20" s="2"/>
      <c r="K20" s="2"/>
      <c r="L20" s="34"/>
      <c r="M20" s="38" t="s">
        <v>38</v>
      </c>
      <c r="N20" s="38">
        <f>SUM(N15:N19)</f>
        <v>0</v>
      </c>
      <c r="O20" s="38">
        <f>SUM(O15:O19)</f>
        <v>0</v>
      </c>
      <c r="P20" s="38">
        <f>SUM(P15:P19)</f>
        <v>0</v>
      </c>
    </row>
    <row r="21" spans="1:16" x14ac:dyDescent="0.25">
      <c r="A21" s="17"/>
      <c r="B21" s="17"/>
      <c r="C21" s="17"/>
      <c r="D21" s="17"/>
      <c r="E21" s="17"/>
      <c r="F21" s="17"/>
      <c r="G21" s="17"/>
      <c r="H21" s="17"/>
      <c r="I21" s="2"/>
      <c r="J21" s="2"/>
      <c r="K21" s="2"/>
      <c r="L21" s="34"/>
      <c r="M21" s="34"/>
      <c r="N21" s="34"/>
      <c r="O21" s="34"/>
      <c r="P21" s="34"/>
    </row>
    <row r="22" spans="1:16" x14ac:dyDescent="0.25">
      <c r="A22" s="34"/>
      <c r="B22" s="34"/>
      <c r="C22" s="34"/>
      <c r="D22" s="34"/>
      <c r="E22" s="34"/>
      <c r="F22" s="34"/>
      <c r="G22" s="34"/>
      <c r="H22" s="34"/>
      <c r="I22" s="34"/>
      <c r="J22" s="34"/>
      <c r="K22" s="34"/>
      <c r="L22" s="34"/>
      <c r="M22" s="34"/>
      <c r="N22" s="34"/>
      <c r="O22" s="34"/>
      <c r="P22" s="34"/>
    </row>
    <row r="23" spans="1:16" ht="23.25" x14ac:dyDescent="0.35">
      <c r="A23" s="35" t="s">
        <v>40</v>
      </c>
      <c r="B23" s="34"/>
      <c r="C23" s="34"/>
      <c r="D23" s="34"/>
      <c r="E23" s="34"/>
      <c r="F23" s="34"/>
      <c r="G23" s="34"/>
      <c r="H23" s="34"/>
      <c r="I23" s="34"/>
      <c r="J23" s="34"/>
      <c r="K23" s="34"/>
      <c r="L23" s="34"/>
      <c r="M23" s="34"/>
      <c r="N23" s="34"/>
      <c r="O23" s="34"/>
      <c r="P23" s="34"/>
    </row>
    <row r="24" spans="1:16" ht="18" thickBot="1" x14ac:dyDescent="0.35">
      <c r="A24" s="3" t="s">
        <v>48</v>
      </c>
      <c r="B24" s="3" t="s">
        <v>0</v>
      </c>
      <c r="C24" s="3" t="s">
        <v>36</v>
      </c>
      <c r="D24" s="3" t="s">
        <v>8</v>
      </c>
      <c r="E24" s="5" t="s">
        <v>9</v>
      </c>
      <c r="F24" s="5" t="s">
        <v>10</v>
      </c>
      <c r="G24" s="36"/>
      <c r="H24" s="37"/>
      <c r="I24" s="34"/>
      <c r="J24" s="34"/>
      <c r="K24" s="34"/>
      <c r="L24" s="34"/>
      <c r="M24" s="36"/>
      <c r="N24" s="38" t="s">
        <v>8</v>
      </c>
      <c r="O24" s="38" t="s">
        <v>9</v>
      </c>
      <c r="P24" s="38" t="s">
        <v>10</v>
      </c>
    </row>
    <row r="25" spans="1:16" ht="15.75" thickTop="1" x14ac:dyDescent="0.25">
      <c r="A25" s="18"/>
      <c r="B25" s="16" t="str">
        <f>IFERROR(VLOOKUP(A25,OverviewTable[],2,FALSE),"?")</f>
        <v>?</v>
      </c>
      <c r="C25" s="16" t="str">
        <f>((N30 * 4) + (O30 * 9) + (P30 * 4))&amp;"/"&amp;IFERROR(VLOOKUP(A25,OverviewTable[],11,FALSE),"?")</f>
        <v>0/?</v>
      </c>
      <c r="D25" s="16" t="str">
        <f>N30&amp;"/"&amp;IFERROR(VLOOKUP(A25,OverviewTable[],12,FALSE),"?")</f>
        <v>0/?</v>
      </c>
      <c r="E25" s="16" t="str">
        <f>O30&amp;"/"&amp;IFERROR(VLOOKUP(A25,OverviewTable[],13,FALSE),"?")</f>
        <v>0/?</v>
      </c>
      <c r="F25" s="16" t="str">
        <f>P30&amp;"/"&amp;IFERROR(VLOOKUP(A25,OverviewTable[],14,FALSE),"?")</f>
        <v>0/?</v>
      </c>
      <c r="G25" s="37"/>
      <c r="H25" s="37"/>
      <c r="I25" s="34"/>
      <c r="J25" s="34"/>
      <c r="K25" s="34"/>
      <c r="L25" s="34"/>
      <c r="M25" s="38" t="s">
        <v>6</v>
      </c>
      <c r="N25" s="38">
        <f>(A28 * IFERROR(VLOOKUP(B28,BreakfastTable[],2,FALSE),0)) + (A29 * IFERROR(VLOOKUP(B29,BreakfastTable[],2,FALSE),0)) + (A30 * IFERROR(VLOOKUP(B30,BreakfastTable[],2,FALSE),0)) + (A31 * IFERROR(VLOOKUP(B31,BreakfastTable[],2,FALSE),0))</f>
        <v>0</v>
      </c>
      <c r="O25" s="38">
        <f>(A28 * IFERROR(VLOOKUP(B28,BreakfastTable[],3,FALSE),0)) + (A29 * IFERROR(VLOOKUP(B29,BreakfastTable[],3,FALSE),0)) + (A30 * IFERROR(VLOOKUP(B30,BreakfastTable[],3,FALSE),0)) + (A31 * IFERROR(VLOOKUP(B31,BreakfastTable[],3,FALSE),0))</f>
        <v>0</v>
      </c>
      <c r="P25" s="38">
        <f>(A28 * IFERROR(VLOOKUP(B28,BreakfastTable[],4,FALSE),0)) + (A29 * IFERROR(VLOOKUP(B29,BreakfastTable[],4,FALSE),0)) + (A30 * IFERROR(VLOOKUP(B30,BreakfastTable[],4,FALSE),0)) + (A31 * IFERROR(VLOOKUP(B31,BreakfastTable[],4,FALSE),0))</f>
        <v>0</v>
      </c>
    </row>
    <row r="26" spans="1:16" x14ac:dyDescent="0.25">
      <c r="A26" s="17"/>
      <c r="B26" s="17"/>
      <c r="C26" s="17"/>
      <c r="D26" s="17"/>
      <c r="E26" s="17"/>
      <c r="F26" s="17"/>
      <c r="G26" s="37"/>
      <c r="H26" s="37"/>
      <c r="I26" s="34"/>
      <c r="J26" s="34"/>
      <c r="K26" s="34"/>
      <c r="L26" s="34"/>
      <c r="M26" s="38" t="s">
        <v>11</v>
      </c>
      <c r="N26" s="38">
        <f>(C28 * IFERROR(VLOOKUP(D28,LunchTable[],2,FALSE),0)) + (C29 * IFERROR(VLOOKUP(D29,LunchTable[],2,FALSE),0)) + (C30 * IFERROR(VLOOKUP(D30,LunchTable[],2,FALSE),0)) + (C31 * IFERROR(VLOOKUP(D31,LunchTable[],2,FALSE),0))</f>
        <v>0</v>
      </c>
      <c r="O26" s="38">
        <f>(C28 * IFERROR(VLOOKUP(D28,LunchTable[],3,FALSE),0)) + (C29 * IFERROR(VLOOKUP(D29,LunchTable[],3,FALSE),0)) + (C30 * IFERROR(VLOOKUP(D30,LunchTable[],3,FALSE),0)) + (C31 * IFERROR(VLOOKUP(D31,LunchTable[],3,FALSE),0))</f>
        <v>0</v>
      </c>
      <c r="P26" s="38">
        <f>(C28 * IFERROR(VLOOKUP(D28,LunchTable[],4,FALSE),0)) + (C29 * IFERROR(VLOOKUP(D29,LunchTable[],4,FALSE),0)) + (C30 * IFERROR(VLOOKUP(D30,LunchTable[],4,FALSE),0)) + (C31 * IFERROR(VLOOKUP(D31,LunchTable[],4,FALSE),0))</f>
        <v>0</v>
      </c>
    </row>
    <row r="27" spans="1:16" ht="18" thickBot="1" x14ac:dyDescent="0.35">
      <c r="A27" s="10" t="s">
        <v>34</v>
      </c>
      <c r="B27" s="11" t="s">
        <v>6</v>
      </c>
      <c r="C27" s="10" t="s">
        <v>34</v>
      </c>
      <c r="D27" s="11" t="s">
        <v>11</v>
      </c>
      <c r="E27" s="10" t="s">
        <v>34</v>
      </c>
      <c r="F27" s="11" t="s">
        <v>12</v>
      </c>
      <c r="G27" s="10" t="s">
        <v>34</v>
      </c>
      <c r="H27" s="12" t="s">
        <v>35</v>
      </c>
      <c r="I27" s="5" t="s">
        <v>41</v>
      </c>
      <c r="J27" s="5" t="s">
        <v>42</v>
      </c>
      <c r="K27" s="5" t="s">
        <v>43</v>
      </c>
      <c r="L27" s="34"/>
      <c r="M27" s="38" t="s">
        <v>12</v>
      </c>
      <c r="N27" s="38">
        <f>(E28 * IFERROR(VLOOKUP(F28,DinnerTable[],2,FALSE),0)) + (E29 * IFERROR(VLOOKUP(F29,DinnerTable[],2,FALSE),0)) + (E30 * IFERROR(VLOOKUP(F30,DinnerTable[],2,FALSE),0)) + (E31 * IFERROR(VLOOKUP(F31,DinnerTable[],2,FALSE),0))</f>
        <v>0</v>
      </c>
      <c r="O27" s="38">
        <f>(E28 * IFERROR(VLOOKUP(F28,DinnerTable[],3,FALSE),0)) + (E29 * IFERROR(VLOOKUP(F29,DinnerTable[],3,FALSE),0)) + (E30 * IFERROR(VLOOKUP(F30,DinnerTable[],3,FALSE),0)) + (E31 * IFERROR(VLOOKUP(F31,DinnerTable[],3,FALSE),0))</f>
        <v>0</v>
      </c>
      <c r="P27" s="38">
        <f>(E28 * IFERROR(VLOOKUP(F28,DinnerTable[],4,FALSE),0)) + (E29 * IFERROR(VLOOKUP(F29,DinnerTable[],4,FALSE),0)) + (E30 * IFERROR(VLOOKUP(F30,DinnerTable[],4,FALSE),0)) + (E31 * IFERROR(VLOOKUP(F31,DinnerTable[],4,FALSE),0))</f>
        <v>0</v>
      </c>
    </row>
    <row r="28" spans="1:16" ht="15.75" thickTop="1" x14ac:dyDescent="0.25">
      <c r="A28" s="17"/>
      <c r="B28" s="17"/>
      <c r="C28" s="17"/>
      <c r="D28" s="17"/>
      <c r="E28" s="17"/>
      <c r="F28" s="17"/>
      <c r="G28" s="17"/>
      <c r="H28" s="17"/>
      <c r="I28" s="2"/>
      <c r="J28" s="2"/>
      <c r="K28" s="2"/>
      <c r="L28" s="34"/>
      <c r="M28" s="38" t="s">
        <v>35</v>
      </c>
      <c r="N28" s="38">
        <f>(G28 * IFERROR(VLOOKUP(H28,PostWorkoutTable[],2,FALSE),0)) + (G29 * IFERROR(VLOOKUP(H29,PostWorkoutTable[],2,FALSE),0)) + (G30 * IFERROR(VLOOKUP(H30,PostWorkoutTable[],2,FALSE),0)) + (G31 * IFERROR(VLOOKUP(H31,PostWorkoutTable[],2,FALSE),0))</f>
        <v>0</v>
      </c>
      <c r="O28" s="38">
        <f>(G28 * IFERROR(VLOOKUP(H28,PostWorkoutTable[],3,FALSE),0)) + (G29 * IFERROR(VLOOKUP(H29,PostWorkoutTable[],3,FALSE),0)) + (G30 * IFERROR(VLOOKUP(H30,PostWorkoutTable[],3,FALSE),0)) + (G31 * IFERROR(VLOOKUP(H31,PostWorkoutTable[],3,FALSE),0))</f>
        <v>0</v>
      </c>
      <c r="P28" s="38">
        <f>(G28 * IFERROR(VLOOKUP(H28,PostWorkoutTable[],4,FALSE),0)) + (G29 * IFERROR(VLOOKUP(H29,PostWorkoutTable[],4,FALSE),0)) + (G30 * IFERROR(VLOOKUP(H30,PostWorkoutTable[],4,FALSE),0)) + (G31 * IFERROR(VLOOKUP(H31,PostWorkoutTable[],4,FALSE),0))</f>
        <v>0</v>
      </c>
    </row>
    <row r="29" spans="1:16" x14ac:dyDescent="0.25">
      <c r="A29" s="17"/>
      <c r="B29" s="17"/>
      <c r="C29" s="17"/>
      <c r="D29" s="17"/>
      <c r="E29" s="17"/>
      <c r="F29" s="17"/>
      <c r="G29" s="17"/>
      <c r="H29" s="17"/>
      <c r="I29" s="2"/>
      <c r="J29" s="2"/>
      <c r="K29" s="2"/>
      <c r="L29" s="34"/>
      <c r="M29" s="38" t="s">
        <v>21</v>
      </c>
      <c r="N29" s="38">
        <f xml:space="preserve"> SUM(I28:I31)</f>
        <v>0</v>
      </c>
      <c r="O29" s="38">
        <f>SUM(J28:J31)</f>
        <v>0</v>
      </c>
      <c r="P29" s="38">
        <f>SUM(K28:K31)</f>
        <v>0</v>
      </c>
    </row>
    <row r="30" spans="1:16" x14ac:dyDescent="0.25">
      <c r="A30" s="17"/>
      <c r="B30" s="17"/>
      <c r="C30" s="17"/>
      <c r="D30" s="17"/>
      <c r="E30" s="17"/>
      <c r="F30" s="17"/>
      <c r="G30" s="17"/>
      <c r="H30" s="17"/>
      <c r="I30" s="2"/>
      <c r="J30" s="2"/>
      <c r="K30" s="2"/>
      <c r="L30" s="34"/>
      <c r="M30" s="38" t="s">
        <v>38</v>
      </c>
      <c r="N30" s="38">
        <f>SUM(N25:N29)</f>
        <v>0</v>
      </c>
      <c r="O30" s="38">
        <f>SUM(O25:O29)</f>
        <v>0</v>
      </c>
      <c r="P30" s="38">
        <f>SUM(P25:P29)</f>
        <v>0</v>
      </c>
    </row>
    <row r="31" spans="1:16" x14ac:dyDescent="0.25">
      <c r="A31" s="17"/>
      <c r="B31" s="17"/>
      <c r="C31" s="17"/>
      <c r="D31" s="17"/>
      <c r="E31" s="17"/>
      <c r="F31" s="17"/>
      <c r="G31" s="17"/>
      <c r="H31" s="17"/>
      <c r="I31" s="2"/>
      <c r="J31" s="2"/>
      <c r="K31" s="2"/>
      <c r="L31" s="34"/>
      <c r="M31" s="34"/>
      <c r="N31" s="34"/>
      <c r="O31" s="34"/>
      <c r="P31" s="34"/>
    </row>
    <row r="32" spans="1:16" x14ac:dyDescent="0.25">
      <c r="A32" s="34"/>
      <c r="B32" s="34"/>
      <c r="C32" s="34"/>
      <c r="D32" s="34"/>
      <c r="E32" s="34"/>
      <c r="F32" s="34"/>
      <c r="G32" s="34"/>
      <c r="H32" s="34"/>
      <c r="I32" s="34"/>
      <c r="J32" s="34"/>
      <c r="K32" s="34"/>
      <c r="L32" s="34"/>
      <c r="M32" s="34"/>
      <c r="N32" s="34"/>
      <c r="O32" s="34"/>
      <c r="P32" s="34"/>
    </row>
    <row r="33" spans="1:16" ht="23.25" x14ac:dyDescent="0.35">
      <c r="A33" s="35" t="s">
        <v>40</v>
      </c>
      <c r="B33" s="34"/>
      <c r="C33" s="34"/>
      <c r="D33" s="34"/>
      <c r="E33" s="34"/>
      <c r="F33" s="34"/>
      <c r="G33" s="34"/>
      <c r="H33" s="34"/>
      <c r="I33" s="34"/>
      <c r="J33" s="34"/>
      <c r="K33" s="34"/>
      <c r="L33" s="34"/>
      <c r="M33" s="34"/>
      <c r="N33" s="34"/>
      <c r="O33" s="34"/>
      <c r="P33" s="34"/>
    </row>
    <row r="34" spans="1:16" ht="18" thickBot="1" x14ac:dyDescent="0.35">
      <c r="A34" s="3" t="s">
        <v>48</v>
      </c>
      <c r="B34" s="3" t="s">
        <v>0</v>
      </c>
      <c r="C34" s="3" t="s">
        <v>36</v>
      </c>
      <c r="D34" s="3" t="s">
        <v>8</v>
      </c>
      <c r="E34" s="5" t="s">
        <v>9</v>
      </c>
      <c r="F34" s="5" t="s">
        <v>10</v>
      </c>
      <c r="G34" s="36"/>
      <c r="H34" s="37"/>
      <c r="I34" s="34"/>
      <c r="J34" s="34"/>
      <c r="K34" s="34"/>
      <c r="L34" s="34"/>
      <c r="M34" s="36"/>
      <c r="N34" s="38" t="s">
        <v>8</v>
      </c>
      <c r="O34" s="38" t="s">
        <v>9</v>
      </c>
      <c r="P34" s="38" t="s">
        <v>10</v>
      </c>
    </row>
    <row r="35" spans="1:16" ht="15.75" thickTop="1" x14ac:dyDescent="0.25">
      <c r="A35" s="18"/>
      <c r="B35" s="16" t="str">
        <f>IFERROR(VLOOKUP(A35,OverviewTable[],2,FALSE),"?")</f>
        <v>?</v>
      </c>
      <c r="C35" s="16" t="str">
        <f>((N40 * 4) + (O40 * 9) + (P40 * 4))&amp;"/"&amp;IFERROR(VLOOKUP(A35,OverviewTable[],11,FALSE),"?")</f>
        <v>0/?</v>
      </c>
      <c r="D35" s="16" t="str">
        <f>N40&amp;"/"&amp;IFERROR(VLOOKUP(A35,OverviewTable[],12,FALSE),"?")</f>
        <v>0/?</v>
      </c>
      <c r="E35" s="16" t="str">
        <f>O40&amp;"/"&amp;IFERROR(VLOOKUP(A35,OverviewTable[],13,FALSE),"?")</f>
        <v>0/?</v>
      </c>
      <c r="F35" s="16" t="str">
        <f>P40&amp;"/"&amp;IFERROR(VLOOKUP(A35,OverviewTable[],14,FALSE),"?")</f>
        <v>0/?</v>
      </c>
      <c r="G35" s="37"/>
      <c r="H35" s="37"/>
      <c r="I35" s="34"/>
      <c r="J35" s="34"/>
      <c r="K35" s="34"/>
      <c r="L35" s="34"/>
      <c r="M35" s="38" t="s">
        <v>6</v>
      </c>
      <c r="N35" s="38">
        <f>(A38 * IFERROR(VLOOKUP(B38,BreakfastTable[],2,FALSE),0)) + (A39 * IFERROR(VLOOKUP(B39,BreakfastTable[],2,FALSE),0)) + (A40 * IFERROR(VLOOKUP(B40,BreakfastTable[],2,FALSE),0)) + (A41 * IFERROR(VLOOKUP(B41,BreakfastTable[],2,FALSE),0))</f>
        <v>0</v>
      </c>
      <c r="O35" s="38">
        <f>(A38 * IFERROR(VLOOKUP(B38,BreakfastTable[],3,FALSE),0)) + (A39 * IFERROR(VLOOKUP(B39,BreakfastTable[],3,FALSE),0)) + (A40 * IFERROR(VLOOKUP(B40,BreakfastTable[],3,FALSE),0)) + (A41 * IFERROR(VLOOKUP(B41,BreakfastTable[],3,FALSE),0))</f>
        <v>0</v>
      </c>
      <c r="P35" s="38">
        <f>(A38 * IFERROR(VLOOKUP(B38,BreakfastTable[],4,FALSE),0)) + (A39 * IFERROR(VLOOKUP(B39,BreakfastTable[],4,FALSE),0)) + (A40 * IFERROR(VLOOKUP(B40,BreakfastTable[],4,FALSE),0)) + (A41 * IFERROR(VLOOKUP(B41,BreakfastTable[],4,FALSE),0))</f>
        <v>0</v>
      </c>
    </row>
    <row r="36" spans="1:16" x14ac:dyDescent="0.25">
      <c r="A36" s="17"/>
      <c r="B36" s="17"/>
      <c r="C36" s="17"/>
      <c r="D36" s="17"/>
      <c r="E36" s="17"/>
      <c r="F36" s="17"/>
      <c r="G36" s="37"/>
      <c r="H36" s="37"/>
      <c r="I36" s="34"/>
      <c r="J36" s="34"/>
      <c r="K36" s="34"/>
      <c r="L36" s="34"/>
      <c r="M36" s="38" t="s">
        <v>11</v>
      </c>
      <c r="N36" s="38">
        <f>(C38 * IFERROR(VLOOKUP(D38,LunchTable[],2,FALSE),0)) + (C39 * IFERROR(VLOOKUP(D39,LunchTable[],2,FALSE),0)) + (C40 * IFERROR(VLOOKUP(D40,LunchTable[],2,FALSE),0)) + (C41 * IFERROR(VLOOKUP(D41,LunchTable[],2,FALSE),0))</f>
        <v>0</v>
      </c>
      <c r="O36" s="38">
        <f>(C38 * IFERROR(VLOOKUP(D38,LunchTable[],3,FALSE),0)) + (C39 * IFERROR(VLOOKUP(D39,LunchTable[],3,FALSE),0)) + (C40 * IFERROR(VLOOKUP(D40,LunchTable[],3,FALSE),0)) + (C41 * IFERROR(VLOOKUP(D41,LunchTable[],3,FALSE),0))</f>
        <v>0</v>
      </c>
      <c r="P36" s="38">
        <f>(C38 * IFERROR(VLOOKUP(D38,LunchTable[],4,FALSE),0)) + (C39 * IFERROR(VLOOKUP(D39,LunchTable[],4,FALSE),0)) + (C40 * IFERROR(VLOOKUP(D40,LunchTable[],4,FALSE),0)) + (C41 * IFERROR(VLOOKUP(D41,LunchTable[],4,FALSE),0))</f>
        <v>0</v>
      </c>
    </row>
    <row r="37" spans="1:16" ht="18" thickBot="1" x14ac:dyDescent="0.35">
      <c r="A37" s="10" t="s">
        <v>34</v>
      </c>
      <c r="B37" s="11" t="s">
        <v>6</v>
      </c>
      <c r="C37" s="10" t="s">
        <v>34</v>
      </c>
      <c r="D37" s="11" t="s">
        <v>11</v>
      </c>
      <c r="E37" s="10" t="s">
        <v>34</v>
      </c>
      <c r="F37" s="11" t="s">
        <v>12</v>
      </c>
      <c r="G37" s="10" t="s">
        <v>34</v>
      </c>
      <c r="H37" s="12" t="s">
        <v>35</v>
      </c>
      <c r="I37" s="5" t="s">
        <v>41</v>
      </c>
      <c r="J37" s="5" t="s">
        <v>42</v>
      </c>
      <c r="K37" s="5" t="s">
        <v>43</v>
      </c>
      <c r="L37" s="34"/>
      <c r="M37" s="38" t="s">
        <v>12</v>
      </c>
      <c r="N37" s="38">
        <f>(E38 * IFERROR(VLOOKUP(F38,DinnerTable[],2,FALSE),0)) + (E39 * IFERROR(VLOOKUP(F39,DinnerTable[],2,FALSE),0)) + (E40 * IFERROR(VLOOKUP(F40,DinnerTable[],2,FALSE),0)) + (E41 * IFERROR(VLOOKUP(F41,DinnerTable[],2,FALSE),0))</f>
        <v>0</v>
      </c>
      <c r="O37" s="38">
        <f>(E38 * IFERROR(VLOOKUP(F38,DinnerTable[],3,FALSE),0)) + (E39 * IFERROR(VLOOKUP(F39,DinnerTable[],3,FALSE),0)) + (E40 * IFERROR(VLOOKUP(F40,DinnerTable[],3,FALSE),0)) + (E41 * IFERROR(VLOOKUP(F41,DinnerTable[],3,FALSE),0))</f>
        <v>0</v>
      </c>
      <c r="P37" s="38">
        <f>(E38 * IFERROR(VLOOKUP(F38,DinnerTable[],4,FALSE),0)) + (E39 * IFERROR(VLOOKUP(F39,DinnerTable[],4,FALSE),0)) + (E40 * IFERROR(VLOOKUP(F40,DinnerTable[],4,FALSE),0)) + (E41 * IFERROR(VLOOKUP(F41,DinnerTable[],4,FALSE),0))</f>
        <v>0</v>
      </c>
    </row>
    <row r="38" spans="1:16" ht="15.75" thickTop="1" x14ac:dyDescent="0.25">
      <c r="A38" s="17"/>
      <c r="B38" s="17"/>
      <c r="C38" s="17"/>
      <c r="D38" s="17"/>
      <c r="E38" s="17"/>
      <c r="F38" s="17"/>
      <c r="G38" s="17"/>
      <c r="H38" s="17"/>
      <c r="I38" s="2"/>
      <c r="J38" s="2"/>
      <c r="K38" s="2"/>
      <c r="L38" s="34"/>
      <c r="M38" s="38" t="s">
        <v>35</v>
      </c>
      <c r="N38" s="38">
        <f>(G38 * IFERROR(VLOOKUP(H38,PostWorkoutTable[],2,FALSE),0)) + (G39 * IFERROR(VLOOKUP(H39,PostWorkoutTable[],2,FALSE),0)) + (G40 * IFERROR(VLOOKUP(H40,PostWorkoutTable[],2,FALSE),0)) + (G41 * IFERROR(VLOOKUP(H41,PostWorkoutTable[],2,FALSE),0))</f>
        <v>0</v>
      </c>
      <c r="O38" s="38">
        <f>(G38 * IFERROR(VLOOKUP(H38,PostWorkoutTable[],3,FALSE),0)) + (G39 * IFERROR(VLOOKUP(H39,PostWorkoutTable[],3,FALSE),0)) + (G40 * IFERROR(VLOOKUP(H40,PostWorkoutTable[],3,FALSE),0)) + (G41 * IFERROR(VLOOKUP(H41,PostWorkoutTable[],3,FALSE),0))</f>
        <v>0</v>
      </c>
      <c r="P38" s="38">
        <f>(G38 * IFERROR(VLOOKUP(H38,PostWorkoutTable[],4,FALSE),0)) + (G39 * IFERROR(VLOOKUP(H39,PostWorkoutTable[],4,FALSE),0)) + (G40 * IFERROR(VLOOKUP(H40,PostWorkoutTable[],4,FALSE),0)) + (G41 * IFERROR(VLOOKUP(H41,PostWorkoutTable[],4,FALSE),0))</f>
        <v>0</v>
      </c>
    </row>
    <row r="39" spans="1:16" x14ac:dyDescent="0.25">
      <c r="A39" s="17"/>
      <c r="B39" s="17"/>
      <c r="C39" s="17"/>
      <c r="D39" s="17"/>
      <c r="E39" s="17"/>
      <c r="F39" s="17"/>
      <c r="G39" s="17"/>
      <c r="H39" s="17"/>
      <c r="I39" s="2"/>
      <c r="J39" s="2"/>
      <c r="K39" s="2"/>
      <c r="L39" s="34"/>
      <c r="M39" s="38" t="s">
        <v>21</v>
      </c>
      <c r="N39" s="38">
        <f xml:space="preserve"> SUM(I38:I41)</f>
        <v>0</v>
      </c>
      <c r="O39" s="38">
        <f>SUM(J38:J41)</f>
        <v>0</v>
      </c>
      <c r="P39" s="38">
        <f>SUM(K38:K41)</f>
        <v>0</v>
      </c>
    </row>
    <row r="40" spans="1:16" x14ac:dyDescent="0.25">
      <c r="A40" s="17"/>
      <c r="B40" s="17"/>
      <c r="C40" s="17"/>
      <c r="D40" s="17"/>
      <c r="E40" s="17"/>
      <c r="F40" s="17"/>
      <c r="G40" s="17"/>
      <c r="H40" s="17"/>
      <c r="I40" s="2"/>
      <c r="J40" s="2"/>
      <c r="K40" s="2"/>
      <c r="L40" s="34"/>
      <c r="M40" s="38" t="s">
        <v>38</v>
      </c>
      <c r="N40" s="38">
        <f>SUM(N35:N39)</f>
        <v>0</v>
      </c>
      <c r="O40" s="38">
        <f>SUM(O35:O39)</f>
        <v>0</v>
      </c>
      <c r="P40" s="38">
        <f>SUM(P35:P39)</f>
        <v>0</v>
      </c>
    </row>
    <row r="41" spans="1:16" x14ac:dyDescent="0.25">
      <c r="A41" s="17"/>
      <c r="B41" s="17"/>
      <c r="C41" s="17"/>
      <c r="D41" s="17"/>
      <c r="E41" s="17"/>
      <c r="F41" s="17"/>
      <c r="G41" s="17"/>
      <c r="H41" s="17"/>
      <c r="I41" s="2"/>
      <c r="J41" s="2"/>
      <c r="K41" s="2"/>
      <c r="L41" s="34"/>
      <c r="M41" s="34"/>
      <c r="N41" s="34"/>
      <c r="O41" s="34"/>
      <c r="P41" s="34"/>
    </row>
    <row r="42" spans="1:16" x14ac:dyDescent="0.25">
      <c r="A42" s="31"/>
      <c r="B42" s="31"/>
      <c r="C42" s="31"/>
      <c r="D42" s="31"/>
      <c r="E42" s="31"/>
      <c r="F42" s="31"/>
      <c r="G42" s="31"/>
      <c r="H42" s="31"/>
      <c r="I42" s="31"/>
      <c r="J42" s="31"/>
      <c r="K42" s="31"/>
      <c r="L42" s="31"/>
      <c r="M42" s="31"/>
      <c r="N42" s="31"/>
      <c r="O42" s="31"/>
      <c r="P42" s="31"/>
    </row>
    <row r="43" spans="1:16" x14ac:dyDescent="0.25">
      <c r="A43" s="31"/>
      <c r="B43" s="31"/>
      <c r="C43" s="31"/>
      <c r="D43" s="31"/>
      <c r="E43" s="31"/>
      <c r="F43" s="31"/>
      <c r="G43" s="31"/>
      <c r="H43" s="31"/>
      <c r="I43" s="31"/>
      <c r="J43" s="31"/>
      <c r="K43" s="31"/>
      <c r="L43" s="31"/>
      <c r="M43" s="31"/>
      <c r="N43" s="31"/>
      <c r="O43" s="31"/>
      <c r="P43" s="31"/>
    </row>
    <row r="44" spans="1:16" x14ac:dyDescent="0.25">
      <c r="A44" s="31"/>
      <c r="B44" s="31"/>
      <c r="C44" s="31"/>
      <c r="D44" s="31"/>
      <c r="E44" s="31"/>
      <c r="F44" s="31"/>
      <c r="G44" s="31"/>
      <c r="H44" s="31"/>
      <c r="I44" s="31"/>
      <c r="J44" s="31"/>
      <c r="K44" s="31"/>
      <c r="L44" s="31"/>
      <c r="M44" s="31"/>
      <c r="N44" s="31"/>
      <c r="O44" s="31"/>
      <c r="P44" s="31"/>
    </row>
    <row r="45" spans="1:16" x14ac:dyDescent="0.25">
      <c r="A45" s="31"/>
      <c r="B45" s="31"/>
      <c r="C45" s="31"/>
      <c r="D45" s="31"/>
      <c r="E45" s="31"/>
      <c r="F45" s="31"/>
      <c r="G45" s="31"/>
      <c r="H45" s="31"/>
      <c r="I45" s="31"/>
      <c r="J45" s="31"/>
      <c r="K45" s="31"/>
      <c r="L45" s="31"/>
      <c r="M45" s="31"/>
      <c r="N45" s="31"/>
      <c r="O45" s="31"/>
      <c r="P45" s="31"/>
    </row>
    <row r="46" spans="1:16" x14ac:dyDescent="0.25">
      <c r="A46" s="31"/>
      <c r="B46" s="31"/>
      <c r="C46" s="31"/>
      <c r="D46" s="31"/>
      <c r="E46" s="31"/>
      <c r="F46" s="31"/>
      <c r="G46" s="31"/>
      <c r="H46" s="31"/>
      <c r="I46" s="31"/>
      <c r="J46" s="31"/>
      <c r="K46" s="31"/>
      <c r="L46" s="31"/>
      <c r="M46" s="31"/>
      <c r="N46" s="31"/>
      <c r="O46" s="31"/>
      <c r="P46" s="31"/>
    </row>
    <row r="47" spans="1:16" x14ac:dyDescent="0.25">
      <c r="A47" s="31"/>
      <c r="B47" s="31"/>
      <c r="C47" s="31"/>
      <c r="D47" s="31"/>
      <c r="E47" s="31"/>
      <c r="F47" s="31"/>
      <c r="G47" s="31"/>
      <c r="H47" s="31"/>
      <c r="I47" s="31"/>
      <c r="J47" s="31"/>
      <c r="K47" s="31"/>
      <c r="L47" s="31"/>
      <c r="M47" s="31"/>
      <c r="N47" s="31"/>
      <c r="O47" s="31"/>
      <c r="P47" s="31"/>
    </row>
    <row r="48" spans="1:16" x14ac:dyDescent="0.25">
      <c r="A48" s="31"/>
      <c r="B48" s="31"/>
      <c r="C48" s="31"/>
      <c r="D48" s="31"/>
      <c r="E48" s="31"/>
      <c r="F48" s="31"/>
      <c r="G48" s="31"/>
      <c r="H48" s="31"/>
      <c r="I48" s="31"/>
      <c r="J48" s="31"/>
      <c r="K48" s="31"/>
      <c r="L48" s="31"/>
      <c r="M48" s="31"/>
      <c r="N48" s="31"/>
      <c r="O48" s="31"/>
      <c r="P48" s="31"/>
    </row>
    <row r="49" spans="1:16" x14ac:dyDescent="0.25">
      <c r="A49" s="31"/>
      <c r="B49" s="31"/>
      <c r="C49" s="31"/>
      <c r="D49" s="31"/>
      <c r="E49" s="31"/>
      <c r="F49" s="31"/>
      <c r="G49" s="31"/>
      <c r="H49" s="31"/>
      <c r="I49" s="31"/>
      <c r="J49" s="31"/>
      <c r="K49" s="31"/>
      <c r="L49" s="31"/>
      <c r="M49" s="31"/>
      <c r="N49" s="31"/>
      <c r="O49" s="31"/>
      <c r="P49" s="31"/>
    </row>
    <row r="50" spans="1:16" x14ac:dyDescent="0.25">
      <c r="A50" s="31"/>
      <c r="B50" s="31"/>
      <c r="C50" s="31"/>
      <c r="D50" s="31"/>
      <c r="E50" s="31"/>
      <c r="F50" s="31"/>
      <c r="G50" s="31"/>
      <c r="H50" s="31"/>
      <c r="I50" s="31"/>
      <c r="J50" s="31"/>
      <c r="K50" s="31"/>
      <c r="L50" s="31"/>
      <c r="M50" s="31"/>
      <c r="N50" s="31"/>
      <c r="O50" s="31"/>
      <c r="P50" s="31"/>
    </row>
    <row r="51" spans="1:16" x14ac:dyDescent="0.25">
      <c r="A51" s="31"/>
      <c r="B51" s="31"/>
      <c r="C51" s="31"/>
      <c r="D51" s="31"/>
      <c r="E51" s="31"/>
      <c r="F51" s="31"/>
      <c r="G51" s="31"/>
      <c r="H51" s="31"/>
      <c r="I51" s="31"/>
      <c r="J51" s="31"/>
      <c r="K51" s="31"/>
      <c r="L51" s="31"/>
      <c r="M51" s="31"/>
      <c r="N51" s="31"/>
      <c r="O51" s="31"/>
      <c r="P51" s="31"/>
    </row>
    <row r="52" spans="1:16" x14ac:dyDescent="0.25">
      <c r="A52" s="31"/>
      <c r="B52" s="31"/>
      <c r="C52" s="31"/>
      <c r="D52" s="31"/>
      <c r="E52" s="31"/>
      <c r="F52" s="31"/>
      <c r="G52" s="31"/>
      <c r="H52" s="31"/>
      <c r="I52" s="31"/>
      <c r="J52" s="31"/>
      <c r="K52" s="31"/>
      <c r="L52" s="31"/>
      <c r="M52" s="31"/>
      <c r="N52" s="31"/>
      <c r="O52" s="31"/>
      <c r="P52" s="31"/>
    </row>
    <row r="53" spans="1:16" x14ac:dyDescent="0.25">
      <c r="A53" s="31"/>
      <c r="B53" s="31"/>
      <c r="C53" s="31"/>
      <c r="D53" s="31"/>
      <c r="E53" s="31"/>
      <c r="F53" s="31"/>
      <c r="G53" s="31"/>
      <c r="H53" s="31"/>
      <c r="I53" s="31"/>
      <c r="J53" s="31"/>
      <c r="K53" s="31"/>
      <c r="L53" s="31"/>
      <c r="M53" s="31"/>
      <c r="N53" s="31"/>
      <c r="O53" s="31"/>
      <c r="P53" s="31"/>
    </row>
    <row r="54" spans="1:16" x14ac:dyDescent="0.25">
      <c r="A54" s="31"/>
      <c r="B54" s="31"/>
      <c r="C54" s="31"/>
      <c r="D54" s="31"/>
      <c r="E54" s="31"/>
      <c r="F54" s="31"/>
      <c r="G54" s="31"/>
      <c r="H54" s="31"/>
      <c r="I54" s="31"/>
      <c r="J54" s="31"/>
      <c r="K54" s="31"/>
      <c r="L54" s="31"/>
      <c r="M54" s="31"/>
      <c r="N54" s="31"/>
      <c r="O54" s="31"/>
      <c r="P54" s="31"/>
    </row>
    <row r="1048576" spans="1:3" x14ac:dyDescent="0.25">
      <c r="A1048576">
        <f>SUM(A8:A1048575)</f>
        <v>0</v>
      </c>
      <c r="C1048576">
        <f>SUM(C1:C1048575)</f>
        <v>0</v>
      </c>
    </row>
  </sheetData>
  <dataValidations count="6">
    <dataValidation type="list" allowBlank="1" showInputMessage="1" showErrorMessage="1" sqref="C18:C21 C8:C11 E8:E11 G8:G11 E18:E21 G18:G21 A18:A21 A8:A11 C28:C31 E28:E31 G28:G31 A28:A31 C38:C41 E38:E41 G38:G41 A38:A41" xr:uid="{593F2BDF-EAF8-4417-9F85-0027545E87FB}">
      <formula1 xml:space="preserve"> AmountRange</formula1>
    </dataValidation>
    <dataValidation type="list" allowBlank="1" showInputMessage="1" showErrorMessage="1" sqref="H8:H11 H18:H21 H28:H31 H38:H41" xr:uid="{A5C2C0BE-FC91-4819-9E40-606AFAB60809}">
      <formula1>PostWorkoutMealRange</formula1>
    </dataValidation>
    <dataValidation type="list" allowBlank="1" showInputMessage="1" showErrorMessage="1" sqref="F8:F11 F18:F21 F28:F31 F38:F41" xr:uid="{8581644D-1A1B-4776-8AB7-DF144A7FA5AC}">
      <formula1>DinnerMealRange</formula1>
    </dataValidation>
    <dataValidation type="list" allowBlank="1" showInputMessage="1" showErrorMessage="1" sqref="D8:D11 D18:D21 D28:D31 D38:D41" xr:uid="{55A02B43-D4EE-41BC-954D-57EDE34927A7}">
      <formula1>LunchMealRange</formula1>
    </dataValidation>
    <dataValidation type="list" allowBlank="1" showInputMessage="1" showErrorMessage="1" sqref="B8:B11 B18:B21 B28:B31 B38:B41" xr:uid="{08525705-C2F0-4E57-9151-4F249948236C}">
      <formula1>BreakfastMealRange</formula1>
    </dataValidation>
    <dataValidation type="list" allowBlank="1" showInputMessage="1" showErrorMessage="1" sqref="A35 A15 A25 A5" xr:uid="{E267659C-219C-4F25-8D38-BDA85322EF5F}">
      <formula1 xml:space="preserve"> OverviewWeekRange</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Overview</vt:lpstr>
      <vt:lpstr>January</vt:lpstr>
      <vt:lpstr>February</vt:lpstr>
      <vt:lpstr>March</vt:lpstr>
      <vt:lpstr>April</vt:lpstr>
      <vt:lpstr>May</vt:lpstr>
      <vt:lpstr>Meal Options</vt:lpstr>
      <vt:lpstr>Progress View</vt:lpstr>
      <vt:lpstr>Month View 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Manalich</dc:creator>
  <cp:lastModifiedBy>Patrick Manalich</cp:lastModifiedBy>
  <dcterms:created xsi:type="dcterms:W3CDTF">2019-01-09T03:30:24Z</dcterms:created>
  <dcterms:modified xsi:type="dcterms:W3CDTF">2020-08-30T20:31:28Z</dcterms:modified>
</cp:coreProperties>
</file>